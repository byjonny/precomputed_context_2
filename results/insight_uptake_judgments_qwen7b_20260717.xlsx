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roved (126)" sheetId="1" state="visible" r:id="rId1"/>
    <sheet name="Hurt control (94)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"/>
  </numFmts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wrapText="1"/>
    </xf>
    <xf numFmtId="0" fontId="1" fillId="0" borderId="0" pivotButton="0" quotePrefix="0" xfId="0"/>
    <xf numFmtId="0" fontId="1" fillId="2" borderId="0" pivotButton="0" quotePrefix="0" xfId="0"/>
    <xf numFmtId="164" fontId="2" fillId="0" borderId="0" pivotButton="0" quotePrefix="0" xfId="0"/>
    <xf numFmtId="165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34" customWidth="1" min="3" max="3"/>
    <col width="9" customWidth="1" min="4" max="4"/>
    <col width="46" customWidth="1" min="5" max="5"/>
    <col width="14" customWidth="1" min="6" max="6"/>
    <col width="40" customWidth="1" min="7" max="7"/>
    <col width="16" customWidth="1" min="8" max="8"/>
    <col width="40" customWidth="1" min="9" max="9"/>
    <col width="16" customWidth="1" min="10" max="10"/>
  </cols>
  <sheetData>
    <row r="1">
      <c r="A1" s="1" t="inlineStr">
        <is>
          <t>item_index</t>
        </is>
      </c>
      <c r="B1" s="1" t="inlineStr">
        <is>
          <t>question_id</t>
        </is>
      </c>
      <c r="C1" s="1" t="inlineStr">
        <is>
          <t>topic</t>
        </is>
      </c>
      <c r="D1" s="1" t="inlineStr">
        <is>
          <t>difficulty</t>
        </is>
      </c>
      <c r="E1" s="1" t="inlineStr">
        <is>
          <t>question (first 120 chars)</t>
        </is>
      </c>
      <c r="F1" s="1" t="inlineStr">
        <is>
          <t>verdict x1 {q,i}</t>
        </is>
      </c>
      <c r="G1" s="1" t="inlineStr">
        <is>
          <t>evidence x1</t>
        </is>
      </c>
      <c r="H1" s="1" t="inlineStr">
        <is>
          <t>verdict x2 {q,i|q,i}</t>
        </is>
      </c>
      <c r="I1" s="1" t="inlineStr">
        <is>
          <t>evidence x2</t>
        </is>
      </c>
      <c r="J1" s="1" t="inlineStr">
        <is>
          <t>transition</t>
        </is>
      </c>
    </row>
    <row r="2">
      <c r="A2" s="2" t="n">
        <v>1</v>
      </c>
      <c r="B2" s="2" t="inlineStr">
        <is>
          <t>q_80947</t>
        </is>
      </c>
      <c r="C2" s="2" t="inlineStr">
        <is>
          <t>Mathematics -&gt; Calculus -&gt; Integral Calculus -&gt; Techniques of Integration -&gt; Single-variable</t>
        </is>
      </c>
      <c r="D2" s="2" t="n">
        <v>4.5</v>
      </c>
      <c r="E2" s="2" t="inlineStr">
        <is>
          <t xml:space="preserve">Evaluate the limit of the Riemann sum as \( n \) approaches infinity for the interval \([0,1]\):  \[ \lim _{n\to \infty </t>
        </is>
      </c>
      <c r="F2" s="2" t="inlineStr">
        <is>
          <t>no</t>
        </is>
      </c>
      <c r="G2" s="2" t="inlineStr">
        <is>
          <t>closed-form power sums and limits, no integral conversion</t>
        </is>
      </c>
      <c r="H2" s="2" t="inlineStr">
        <is>
          <t>unclear</t>
        </is>
      </c>
      <c r="I2" s="2" t="inlineStr">
        <is>
          <t>linearity plus power-sum formulas; garbled, no integral conversion</t>
        </is>
      </c>
      <c r="J2" s="2" t="inlineStr">
        <is>
          <t>no-&gt;unclear</t>
        </is>
      </c>
    </row>
    <row r="3">
      <c r="A3" s="2" t="n">
        <v>6</v>
      </c>
      <c r="B3" s="2" t="inlineStr">
        <is>
          <t>q_62813</t>
        </is>
      </c>
      <c r="C3" s="2" t="inlineStr">
        <is>
          <t>Mathematics -&gt; Calculus -&gt; Integral Calculus -&gt; Techniques of Integration -&gt; Multi-variable</t>
        </is>
      </c>
      <c r="D3" s="2" t="n">
        <v>5.5</v>
      </c>
      <c r="E3" s="2" t="inlineStr">
        <is>
          <t xml:space="preserve">Evaluate the double integral \( \iint\limits_{A} y \, dA \), where the region \( A \) is bounded by the parabola \( x^2 </t>
        </is>
      </c>
      <c r="F3" s="2" t="inlineStr">
        <is>
          <t>yes</t>
        </is>
      </c>
      <c r="G3" s="2" t="inlineStr">
        <is>
          <t>u=x^2 intersection, Cartesian upper-lower setup, inner y-integral</t>
        </is>
      </c>
      <c r="H3" s="2" t="inlineStr">
        <is>
          <t>yes</t>
        </is>
      </c>
      <c r="I3" s="2" t="inlineStr">
        <is>
          <t>Cartesian Type I setup, intersection solving, symmetry doubling</t>
        </is>
      </c>
      <c r="J3" s="2" t="inlineStr">
        <is>
          <t>yes-&gt;yes</t>
        </is>
      </c>
    </row>
    <row r="4">
      <c r="A4" s="2" t="n">
        <v>13</v>
      </c>
      <c r="B4" s="2" t="inlineStr">
        <is>
          <t>q_62721</t>
        </is>
      </c>
      <c r="C4" s="2" t="inlineStr">
        <is>
          <t>Mathematics -&gt; Differential Equations -&gt; Ordinary Differential Equations (ODEs)</t>
        </is>
      </c>
      <c r="D4" s="2" t="n">
        <v>8</v>
      </c>
      <c r="E4" s="2" t="inlineStr">
        <is>
          <t>Determine the minimum value of the functional \( J(y) = \int_a^b \sqrt{1+y'(x)^2} \, dx \) for functions \( y(x) \) that</t>
        </is>
      </c>
      <c r="F4" s="2" t="inlineStr">
        <is>
          <t>yes</t>
        </is>
      </c>
      <c r="G4" s="2" t="inlineStr">
        <is>
          <t>recognizes arc length, straight line, endpoint distance formula</t>
        </is>
      </c>
      <c r="H4" s="2" t="inlineStr">
        <is>
          <t>yes</t>
        </is>
      </c>
      <c r="I4" s="2" t="inlineStr">
        <is>
          <t>recognized arc length, straight/flat line gives b-a</t>
        </is>
      </c>
      <c r="J4" s="2" t="inlineStr">
        <is>
          <t>yes-&gt;yes</t>
        </is>
      </c>
    </row>
    <row r="5">
      <c r="A5" s="2" t="n">
        <v>42</v>
      </c>
      <c r="B5" s="2" t="inlineStr">
        <is>
          <t>q_37528</t>
        </is>
      </c>
      <c r="C5" s="2" t="inlineStr">
        <is>
          <t>Mathematics -&gt; Algebra -&gt; Linear Algebra -&gt; Linear Transformations</t>
        </is>
      </c>
      <c r="D5" s="2" t="n">
        <v>8.5</v>
      </c>
      <c r="E5" s="2" t="inlineStr">
        <is>
          <t>Let $X$ and $Y$ be Banach spaces. Consider a sequence of invertible operators $T_n \in B(X,Y)$ such that $T_n \xrightarr</t>
        </is>
      </c>
      <c r="F5" s="2" t="inlineStr">
        <is>
          <t>yes</t>
        </is>
      </c>
      <c r="G5" s="2" t="inlineStr">
        <is>
          <t>passed T_nT_n^{-1}=I to limit via continuity</t>
        </is>
      </c>
      <c r="H5" s="2" t="inlineStr">
        <is>
          <t>yes</t>
        </is>
      </c>
      <c r="I5" s="2" t="inlineStr">
        <is>
          <t>limit of composition identities gives TS=I, ST=I</t>
        </is>
      </c>
      <c r="J5" s="2" t="inlineStr">
        <is>
          <t>yes-&gt;yes</t>
        </is>
      </c>
    </row>
    <row r="6">
      <c r="A6" s="2" t="n">
        <v>47</v>
      </c>
      <c r="B6" s="2" t="inlineStr">
        <is>
          <t>q_83656</t>
        </is>
      </c>
      <c r="C6" s="2" t="inlineStr">
        <is>
          <t>Mathematics -&gt; Algebra -&gt; Intermediate Algebra -&gt; Complex Numbers</t>
        </is>
      </c>
      <c r="D6" s="2" t="n">
        <v>6</v>
      </c>
      <c r="E6" s="2" t="inlineStr">
        <is>
          <t>Find the complex number $z = x + iy$ such that \( \Re\left(\frac{z}{-3+2i}\right) = \frac{10}{13} \) and \( |3-2\overlin</t>
        </is>
      </c>
      <c r="F6" s="2" t="inlineStr">
        <is>
          <t>yes</t>
        </is>
      </c>
      <c r="G6" s="2" t="inlineStr">
        <is>
          <t>Cartesian substitution, squared moduli cancellation, linear system</t>
        </is>
      </c>
      <c r="H6" s="2" t="inlineStr">
        <is>
          <t>yes</t>
        </is>
      </c>
      <c r="I6" s="2" t="inlineStr">
        <is>
          <t>substitutes z=x+iy, squares moduli, solves linear system</t>
        </is>
      </c>
      <c r="J6" s="2" t="inlineStr">
        <is>
          <t>yes-&gt;yes</t>
        </is>
      </c>
    </row>
    <row r="7">
      <c r="A7" s="2" t="n">
        <v>50</v>
      </c>
      <c r="B7" s="2" t="inlineStr">
        <is>
          <t>q_49779</t>
        </is>
      </c>
      <c r="C7" s="2" t="inlineStr">
        <is>
          <t>Mathematics -&gt; Algebra -&gt; Linear Algebra -&gt; Vectors</t>
        </is>
      </c>
      <c r="D7" s="2" t="n">
        <v>6</v>
      </c>
      <c r="E7" s="2" t="inlineStr">
        <is>
          <t>For a seminorm $p$ on a vector space $V$, determine whether it is always true that there exist distinct vectors $x_1$ an</t>
        </is>
      </c>
      <c r="F7" s="2" t="inlineStr">
        <is>
          <t>yes</t>
        </is>
      </c>
      <c r="G7" s="2" t="inlineStr">
        <is>
          <t>negation gives nonzero kernel vector, kernel subspace property</t>
        </is>
      </c>
      <c r="H7" s="2" t="inlineStr">
        <is>
          <t>yes</t>
        </is>
      </c>
      <c r="I7" s="2" t="inlineStr">
        <is>
          <t>nonzero kernel witness, trivial-case check, kernel subspace infinitude</t>
        </is>
      </c>
      <c r="J7" s="2" t="inlineStr">
        <is>
          <t>yes-&gt;yes</t>
        </is>
      </c>
    </row>
    <row r="8">
      <c r="A8" s="2" t="n">
        <v>73</v>
      </c>
      <c r="B8" s="2" t="inlineStr">
        <is>
          <t>q_89561</t>
        </is>
      </c>
      <c r="C8" s="2" t="inlineStr">
        <is>
          <t>Mathematics -&gt; Discrete Mathematics -&gt; Combinatorics</t>
        </is>
      </c>
      <c r="D8" s="2" t="n">
        <v>6.5</v>
      </c>
      <c r="E8" s="2" t="inlineStr">
        <is>
          <t>In a language with only three letters - $A, B$, and $C$, a word is defined as a sequence of exactly 100 letters, with ex</t>
        </is>
      </c>
      <c r="F8" s="2" t="inlineStr">
        <is>
          <t>no</t>
        </is>
      </c>
      <c r="G8" s="2" t="inlineStr">
        <is>
          <t>counted distinct supports via Erdos-Ko-Rado, not fixed support</t>
        </is>
      </c>
      <c r="H8" s="2" t="inlineStr">
        <is>
          <t>yes</t>
        </is>
      </c>
      <c r="I8" s="2" t="inlineStr">
        <is>
          <t>fixed consonant support, counted 2^40 labelings</t>
        </is>
      </c>
      <c r="J8" s="2" t="inlineStr">
        <is>
          <t>no-&gt;yes</t>
        </is>
      </c>
    </row>
    <row r="9">
      <c r="A9" s="2" t="n">
        <v>77</v>
      </c>
      <c r="B9" s="2" t="inlineStr">
        <is>
          <t>q_81392</t>
        </is>
      </c>
      <c r="C9" s="2" t="inlineStr">
        <is>
          <t>Mathematics -&gt; Algebra -&gt; Algebra -&gt; Equations and Inequalities</t>
        </is>
      </c>
      <c r="D9" s="2" t="n">
        <v>5.5</v>
      </c>
      <c r="E9" s="2" t="inlineStr">
        <is>
          <t>Let $a, b, x, y$ be real numbers such that $a^2+b^2=81$, $x^2+y^2=121$, and $ax + by = 99$. Determine the set of all pos</t>
        </is>
      </c>
      <c r="F9" s="2" t="inlineStr">
        <is>
          <t>yes</t>
        </is>
      </c>
      <c r="G9" s="2" t="inlineStr">
        <is>
          <t>applies Lagrange's Identity directly, gets (ay-bx)^2=0</t>
        </is>
      </c>
      <c r="H9" s="2" t="inlineStr">
        <is>
          <t>yes</t>
        </is>
      </c>
      <c r="I9" s="2" t="inlineStr">
        <is>
          <t>applied Lagrange's Identity directly</t>
        </is>
      </c>
      <c r="J9" s="2" t="inlineStr">
        <is>
          <t>yes-&gt;yes</t>
        </is>
      </c>
    </row>
    <row r="10">
      <c r="A10" s="2" t="n">
        <v>98</v>
      </c>
      <c r="B10" s="2" t="inlineStr">
        <is>
          <t>q_255</t>
        </is>
      </c>
      <c r="C10" s="2" t="inlineStr">
        <is>
          <t>Mathematics -&gt; Algebra -&gt; Abstract Algebra -&gt; Ring Theory</t>
        </is>
      </c>
      <c r="D10" s="2" t="n">
        <v>7.5</v>
      </c>
      <c r="E10" s="2" t="inlineStr">
        <is>
          <t>Let $u: M \rightarrow N$ be an $A$-module homomorphism, and let $N'$ be the image of $u$. Suppose $a$ is an ideal of $A$</t>
        </is>
      </c>
      <c r="F10" s="2" t="inlineStr">
        <is>
          <t>yes</t>
        </is>
      </c>
      <c r="G10" s="2" t="inlineStr">
        <is>
          <t>used N=N'+aN decomposition, showed Q=aQ</t>
        </is>
      </c>
      <c r="H10" s="2" t="inlineStr">
        <is>
          <t>yes</t>
        </is>
      </c>
      <c r="I10" s="2" t="inlineStr">
        <is>
          <t>decomposition N=N'+aN, ideal-quotient identity, shows Q=aQ</t>
        </is>
      </c>
      <c r="J10" s="2" t="inlineStr">
        <is>
          <t>yes-&gt;yes</t>
        </is>
      </c>
    </row>
    <row r="11">
      <c r="A11" s="2" t="n">
        <v>106</v>
      </c>
      <c r="B11" s="2" t="inlineStr">
        <is>
          <t>q_87671</t>
        </is>
      </c>
      <c r="C11" s="2" t="inlineStr">
        <is>
          <t>Mathematics -&gt; Discrete Mathematics -&gt; Combinatorics</t>
        </is>
      </c>
      <c r="D11" s="2" t="n">
        <v>6</v>
      </c>
      <c r="E11" s="2" t="inlineStr">
        <is>
          <t>Let the set \( A = \{0, 1, 2, \ldots, 9\} \). The collection \( \{B_1, B_2, \ldots, B_k\} \) is a family of non-empty su</t>
        </is>
      </c>
      <c r="F11" s="2" t="inlineStr">
        <is>
          <t>unclear</t>
        </is>
      </c>
      <c r="G11" s="2" t="inlineStr">
        <is>
          <t>complete-levels counting but rejects t+1 insight, wrong cutoff</t>
        </is>
      </c>
      <c r="H11" s="2" t="inlineStr">
        <is>
          <t>yes</t>
        </is>
      </c>
      <c r="I11" s="2" t="inlineStr">
        <is>
          <t>counted all subsets of size at most three</t>
        </is>
      </c>
      <c r="J11" s="2" t="inlineStr">
        <is>
          <t>unclear-&gt;yes</t>
        </is>
      </c>
    </row>
    <row r="12">
      <c r="A12" s="2" t="n">
        <v>110</v>
      </c>
      <c r="B12" s="2" t="inlineStr">
        <is>
          <t>q_85194</t>
        </is>
      </c>
      <c r="C12" s="2" t="inlineStr">
        <is>
          <t>Mathematics -&gt; Discrete Mathematics -&gt; Combinatorics</t>
        </is>
      </c>
      <c r="D12" s="2" t="n">
        <v>6</v>
      </c>
      <c r="E12" s="2" t="inlineStr">
        <is>
          <t>Suppose there are several piles of balls placed on a circle, with the number of balls in each pile being a multiple of 3</t>
        </is>
      </c>
      <c r="F12" s="2" t="inlineStr">
        <is>
          <t>unclear</t>
        </is>
      </c>
      <c r="G12" s="2" t="inlineStr">
        <is>
          <t>conservation/divisibility argument; variance reduction only mentioned</t>
        </is>
      </c>
      <c r="H12" s="2" t="inlineStr">
        <is>
          <t>yes</t>
        </is>
      </c>
      <c r="I12" s="2" t="inlineStr">
        <is>
          <t>smoothing/variance reduction and symmetry convergence argument</t>
        </is>
      </c>
      <c r="J12" s="2" t="inlineStr">
        <is>
          <t>unclear-&gt;yes</t>
        </is>
      </c>
    </row>
    <row r="13">
      <c r="A13" s="2" t="n">
        <v>121</v>
      </c>
      <c r="B13" s="2" t="inlineStr">
        <is>
          <t>q_98667</t>
        </is>
      </c>
      <c r="C13" s="2" t="inlineStr">
        <is>
          <t>Mathematics -&gt; Algebra -&gt; Intermediate Algebra -&gt; Other</t>
        </is>
      </c>
      <c r="D13" s="2" t="n">
        <v>5</v>
      </c>
      <c r="E13" s="2" t="inlineStr">
        <is>
          <t>Let $ f(n) = \begin{cases} n^2+1 &amp; \text{if }n\text{ is odd} \\ \dfrac{n}{2} &amp; \text{if }n\text{ is even} \end{cases}. $</t>
        </is>
      </c>
      <c r="F13" s="2" t="inlineStr">
        <is>
          <t>yes</t>
        </is>
      </c>
      <c r="G13" s="2" t="inlineStr">
        <is>
          <t>cycle identification, backward tracing, counted powers of two</t>
        </is>
      </c>
      <c r="H13" s="2" t="inlineStr">
        <is>
          <t>yes</t>
        </is>
      </c>
      <c r="I13" s="2" t="inlineStr">
        <is>
          <t>basin backward analysis, counts pure powers of 2</t>
        </is>
      </c>
      <c r="J13" s="2" t="inlineStr">
        <is>
          <t>yes-&gt;yes</t>
        </is>
      </c>
    </row>
    <row r="14">
      <c r="A14" s="2" t="n">
        <v>125</v>
      </c>
      <c r="B14" s="2" t="inlineStr">
        <is>
          <t>q_13433</t>
        </is>
      </c>
      <c r="C14" s="2" t="inlineStr">
        <is>
          <t>Mathematics -&gt; Algebra -&gt; Intermediate Algebra -&gt; Other</t>
        </is>
      </c>
      <c r="D14" s="2" t="n">
        <v>5</v>
      </c>
      <c r="E14" s="2" t="inlineStr">
        <is>
          <t>Find the largest positive integer \( n \) such that \( \frac{(n!)^2}{(2n)!} \leq \frac{1}{500} \).</t>
        </is>
      </c>
      <c r="F14" s="2" t="inlineStr">
        <is>
          <t>yes</t>
        </is>
      </c>
      <c r="G14" s="2" t="inlineStr">
        <is>
          <t>reciprocal to central binomial, iterated small values</t>
        </is>
      </c>
      <c r="H14" s="2" t="inlineStr">
        <is>
          <t>yes</t>
        </is>
      </c>
      <c r="I14" s="2" t="inlineStr">
        <is>
          <t>reciprocal to central binomial, iterated small n threshold</t>
        </is>
      </c>
      <c r="J14" s="2" t="inlineStr">
        <is>
          <t>yes-&gt;yes</t>
        </is>
      </c>
    </row>
    <row r="15">
      <c r="A15" s="2" t="n">
        <v>130</v>
      </c>
      <c r="B15" s="2" t="inlineStr">
        <is>
          <t>q_44453</t>
        </is>
      </c>
      <c r="C15" s="2" t="inlineStr">
        <is>
          <t>Mathematics -&gt; Calculus -&gt; Integral Calculus -&gt; Techniques of Integration -&gt; Single-variable</t>
        </is>
      </c>
      <c r="D15" s="2" t="n">
        <v>7</v>
      </c>
      <c r="E15" s="2" t="inlineStr">
        <is>
          <t>Evaluate the Riemann-Stieltjes integral: \[ \int_{0}^{2}x^2d\left\lfloor 2x\right\rfloor \]</t>
        </is>
      </c>
      <c r="F15" s="2" t="inlineStr">
        <is>
          <t>unclear</t>
        </is>
      </c>
      <c r="G15" s="2" t="inlineStr">
        <is>
          <t>names jump-point sum but computes f-value differences instead</t>
        </is>
      </c>
      <c r="H15" s="2" t="inlineStr">
        <is>
          <t>yes</t>
        </is>
      </c>
      <c r="I15" s="2" t="inlineStr">
        <is>
          <t>summed f(c_i) times jumps at discontinuity points</t>
        </is>
      </c>
      <c r="J15" s="2" t="inlineStr">
        <is>
          <t>unclear-&gt;yes</t>
        </is>
      </c>
    </row>
    <row r="16">
      <c r="A16" s="2" t="n">
        <v>133</v>
      </c>
      <c r="B16" s="2" t="inlineStr">
        <is>
          <t>q_92323</t>
        </is>
      </c>
      <c r="C16" s="2" t="inlineStr">
        <is>
          <t>Mathematics -&gt; Algebra -&gt; Algebra -&gt; Algebraic Expressions</t>
        </is>
      </c>
      <c r="D16" s="2" t="n">
        <v>5</v>
      </c>
      <c r="E16" s="2" t="inlineStr">
        <is>
          <t>A linear function \( f(x) \) is given. The distance between the points of intersection of the graphs \( y = x^{2} \) and</t>
        </is>
      </c>
      <c r="F16" s="2" t="inlineStr">
        <is>
          <t>yes</t>
        </is>
      </c>
      <c r="G16" s="2" t="inlineStr">
        <is>
          <t>Vieta root-difference plus shift-changes-constant analysis, omits slope factor</t>
        </is>
      </c>
      <c r="H16" s="2" t="inlineStr">
        <is>
          <t>yes</t>
        </is>
      </c>
      <c r="I16" s="2" t="inlineStr">
        <is>
          <t>used squared-distance decomposition with Vieta across shifted scenarios</t>
        </is>
      </c>
      <c r="J16" s="2" t="inlineStr">
        <is>
          <t>yes-&gt;yes</t>
        </is>
      </c>
    </row>
    <row r="17">
      <c r="A17" s="2" t="n">
        <v>134</v>
      </c>
      <c r="B17" s="2" t="inlineStr">
        <is>
          <t>q_85318</t>
        </is>
      </c>
      <c r="C17" s="2" t="inlineStr">
        <is>
          <t>Mathematics -&gt; Number Theory -&gt; Prime Numbers</t>
        </is>
      </c>
      <c r="D17" s="2" t="n">
        <v>5.5</v>
      </c>
      <c r="E17" s="2" t="inlineStr">
        <is>
          <t>Given a natural number \( x = 9^n - 1 \), where \( n \) is an odd natural number, and it is known that \( x \) has exact</t>
        </is>
      </c>
      <c r="F17" s="2" t="inlineStr">
        <is>
          <t>yes</t>
        </is>
      </c>
      <c r="G17" s="2" t="inlineStr">
        <is>
          <t>order mod 61 constrains n, Zsigmondy, base factor isolation</t>
        </is>
      </c>
      <c r="H17" s="2" t="inlineStr">
        <is>
          <t>yes</t>
        </is>
      </c>
      <c r="I17" s="2" t="inlineStr">
        <is>
          <t>base factor isolation, tested smallest odd n values</t>
        </is>
      </c>
      <c r="J17" s="2" t="inlineStr">
        <is>
          <t>yes-&gt;yes</t>
        </is>
      </c>
    </row>
    <row r="18">
      <c r="A18" s="2" t="n">
        <v>149</v>
      </c>
      <c r="B18" s="2" t="inlineStr">
        <is>
          <t>q_6134</t>
        </is>
      </c>
      <c r="C18" s="2" t="inlineStr">
        <is>
          <t>Mathematics -&gt; Discrete Mathematics -&gt; Combinatorics</t>
        </is>
      </c>
      <c r="D18" s="2" t="n">
        <v>8.5</v>
      </c>
      <c r="E18" s="2" t="inlineStr">
        <is>
          <t>Determine whether the zero vector is contained in the convex hull of the set \( \{(\underbrace{\alpha_1, \cdots, \alpha_</t>
        </is>
      </c>
      <c r="F18" s="2" t="inlineStr">
        <is>
          <t>yes</t>
        </is>
      </c>
      <c r="G18" s="2" t="inlineStr">
        <is>
          <t>symmetry -v in set, midpoint property</t>
        </is>
      </c>
      <c r="H18" s="2" t="inlineStr">
        <is>
          <t>yes</t>
        </is>
      </c>
      <c r="I18" s="2" t="inlineStr">
        <is>
          <t>central symmetry check, -v in set, midpoint</t>
        </is>
      </c>
      <c r="J18" s="2" t="inlineStr">
        <is>
          <t>yes-&gt;yes</t>
        </is>
      </c>
    </row>
    <row r="19">
      <c r="A19" s="2" t="n">
        <v>153</v>
      </c>
      <c r="B19" s="2" t="inlineStr">
        <is>
          <t>q_14631</t>
        </is>
      </c>
      <c r="C19" s="2" t="inlineStr">
        <is>
          <t>Mathematics -&gt; Algebra -&gt; Linear Algebra -&gt; Matrices</t>
        </is>
      </c>
      <c r="D19" s="2" t="n">
        <v>4</v>
      </c>
      <c r="E19" s="2" t="inlineStr">
        <is>
          <t xml:space="preserve">Let \( \Pi_1, \Pi_2, \) and \( \Pi_3 \) be the planes with Cartesian equations \( x + 2y + 3z = 5 \), \( x - y + 2z = 7 </t>
        </is>
      </c>
      <c r="F19" s="2" t="inlineStr">
        <is>
          <t>yes</t>
        </is>
      </c>
      <c r="G19" s="2" t="inlineStr">
        <is>
          <t>set coefficient-matrix determinant to zero for k</t>
        </is>
      </c>
      <c r="H19" s="2" t="inlineStr">
        <is>
          <t>yes</t>
        </is>
      </c>
      <c r="I19" s="2" t="inlineStr">
        <is>
          <t>set coefficient determinant to zero, solved for k</t>
        </is>
      </c>
      <c r="J19" s="2" t="inlineStr">
        <is>
          <t>yes-&gt;yes</t>
        </is>
      </c>
    </row>
    <row r="20">
      <c r="A20" s="2" t="n">
        <v>174</v>
      </c>
      <c r="B20" s="2" t="inlineStr">
        <is>
          <t>q_6485</t>
        </is>
      </c>
      <c r="C20" s="2" t="inlineStr">
        <is>
          <t>Mathematics -&gt; Calculus -&gt; Differential Calculus -&gt; Derivatives</t>
        </is>
      </c>
      <c r="D20" s="2" t="n">
        <v>6</v>
      </c>
      <c r="E20" s="2" t="inlineStr">
        <is>
          <t>Given the system of equations: \[\begin{cases} x^2 + xy - y^2 = u \\ 2xy + y^2 = v \end{cases}\] find the value of \( \l</t>
        </is>
      </c>
      <c r="F20" s="2" t="inlineStr">
        <is>
          <t>yes</t>
        </is>
      </c>
      <c r="G20" s="2" t="inlineStr">
        <is>
          <t>built Jacobian, inverted, took top-left element</t>
        </is>
      </c>
      <c r="H20" s="2" t="inlineStr">
        <is>
          <t>yes</t>
        </is>
      </c>
      <c r="I20" s="2" t="inlineStr">
        <is>
          <t>Jacobian at point, (dv/dy)/det(J) shortcut</t>
        </is>
      </c>
      <c r="J20" s="2" t="inlineStr">
        <is>
          <t>yes-&gt;yes</t>
        </is>
      </c>
    </row>
    <row r="21">
      <c r="A21" s="2" t="n">
        <v>189</v>
      </c>
      <c r="B21" s="2" t="inlineStr">
        <is>
          <t>q_20712</t>
        </is>
      </c>
      <c r="C21" s="2" t="inlineStr">
        <is>
          <t>Mathematics -&gt; Other</t>
        </is>
      </c>
      <c r="D21" s="2" t="n">
        <v>9</v>
      </c>
      <c r="E21" s="2" t="inlineStr">
        <is>
          <t>Determine whether there exists a critical covering of \( \omega \) consisting only of infinite sets.</t>
        </is>
      </c>
      <c r="F21" s="2" t="inlineStr">
        <is>
          <t>yes</t>
        </is>
      </c>
      <c r="G21" s="2" t="inlineStr">
        <is>
          <t>unique-witness plus padding-zone partition construction</t>
        </is>
      </c>
      <c r="H21" s="2" t="inlineStr">
        <is>
          <t>yes</t>
        </is>
      </c>
      <c r="I21" s="2" t="inlineStr">
        <is>
          <t>functional partitioning into index and padding zones</t>
        </is>
      </c>
      <c r="J21" s="2" t="inlineStr">
        <is>
          <t>yes-&gt;yes</t>
        </is>
      </c>
    </row>
    <row r="22">
      <c r="A22" s="2" t="n">
        <v>197</v>
      </c>
      <c r="B22" s="2" t="inlineStr">
        <is>
          <t>q_35605</t>
        </is>
      </c>
      <c r="C22" s="2" t="inlineStr">
        <is>
          <t>Mathematics -&gt; Precalculus -&gt; Limits</t>
        </is>
      </c>
      <c r="D22" s="2" t="n">
        <v>5</v>
      </c>
      <c r="E22" s="2" t="inlineStr">
        <is>
          <t>Find the limit of the sequence $y_n$ defined recursively by $y_n = 2x_{n+1} + x_n$, where $x_n = \frac{x_{n-1} + x_{n-2}</t>
        </is>
      </c>
      <c r="F22" s="2" t="inlineStr">
        <is>
          <t>yes</t>
        </is>
      </c>
      <c r="G22" s="2" t="inlineStr">
        <is>
          <t>characteristic equation, transient root vanishes in limit</t>
        </is>
      </c>
      <c r="H22" s="2" t="inlineStr">
        <is>
          <t>yes</t>
        </is>
      </c>
      <c r="I22" s="2" t="inlineStr">
        <is>
          <t>characteristic roots 1 and -1/2, weighted-average limit (a+2b)/3</t>
        </is>
      </c>
      <c r="J22" s="2" t="inlineStr">
        <is>
          <t>yes-&gt;yes</t>
        </is>
      </c>
    </row>
    <row r="23">
      <c r="A23" s="2" t="n">
        <v>199</v>
      </c>
      <c r="B23" s="2" t="inlineStr">
        <is>
          <t>q_8864</t>
        </is>
      </c>
      <c r="C23" s="2" t="inlineStr">
        <is>
          <t>Mathematics -&gt; Applied Mathematics -&gt; Statistics -&gt; Probability -&gt; Counting Methods -&gt; Combinations</t>
        </is>
      </c>
      <c r="D23" s="2" t="n">
        <v>4</v>
      </c>
      <c r="E23" s="2" t="inlineStr">
        <is>
          <t xml:space="preserve">Determine the number of ways to form 5 unique committees of 3 members each from a group of 6 mathematicians, given that </t>
        </is>
      </c>
      <c r="F23" s="2" t="inlineStr">
        <is>
          <t>no</t>
        </is>
      </c>
      <c r="G23" s="2" t="inlineStr">
        <is>
          <t>exhausted members without replacement, ignored subset-pool selection</t>
        </is>
      </c>
      <c r="H23" s="2" t="inlineStr">
        <is>
          <t>yes</t>
        </is>
      </c>
      <c r="I23" s="2" t="inlineStr">
        <is>
          <t>computed pool C(6,3)=20 then selected C(20,5)</t>
        </is>
      </c>
      <c r="J23" s="2" t="inlineStr">
        <is>
          <t>no-&gt;yes</t>
        </is>
      </c>
    </row>
    <row r="24">
      <c r="A24" s="2" t="n">
        <v>220</v>
      </c>
      <c r="B24" s="2" t="inlineStr">
        <is>
          <t>q_36630</t>
        </is>
      </c>
      <c r="C24" s="2" t="inlineStr">
        <is>
          <t>Mathematics -&gt; Precalculus -&gt; Limits</t>
        </is>
      </c>
      <c r="D24" s="2" t="n">
        <v>6.5</v>
      </c>
      <c r="E24" s="2" t="inlineStr">
        <is>
          <t>Given sequences of positive numbers $a_n$ and $b_n$ such that \( \lim_{n\to\infty}a_n^n = a \) and \( \lim_{n\to\infty}b</t>
        </is>
      </c>
      <c r="F24" s="2" t="inlineStr">
        <is>
          <t>no</t>
        </is>
      </c>
      <c r="G24" s="2" t="inlineStr">
        <is>
          <t>generic exp-log limit swap; no 1+lnL/n linearization</t>
        </is>
      </c>
      <c r="H24" s="2" t="inlineStr">
        <is>
          <t>yes</t>
        </is>
      </c>
      <c r="I24" s="2" t="inlineStr">
        <is>
          <t>linearized a_n=1+ln a/n, exponentiated to a^p b^q</t>
        </is>
      </c>
      <c r="J24" s="2" t="inlineStr">
        <is>
          <t>no-&gt;yes</t>
        </is>
      </c>
    </row>
    <row r="25">
      <c r="A25" s="2" t="n">
        <v>221</v>
      </c>
      <c r="B25" s="2" t="inlineStr">
        <is>
          <t>q_37643</t>
        </is>
      </c>
      <c r="C25" s="2" t="inlineStr">
        <is>
          <t>Mathematics -&gt; Calculus -&gt; Differential Calculus -&gt; Applications of Derivatives</t>
        </is>
      </c>
      <c r="D25" s="2" t="n">
        <v>5.5</v>
      </c>
      <c r="E25" s="2" t="inlineStr">
        <is>
          <t>Consider two functions $f(t)$ and $g(t)$ where $f(t)$ approaches infinity and $g(t)$ approaches negative infinity as $t$</t>
        </is>
      </c>
      <c r="F25" s="2" t="inlineStr">
        <is>
          <t>yes</t>
        </is>
      </c>
      <c r="G25" s="2" t="inlineStr">
        <is>
          <t>ratio as e^{g-f}, showed difference diverges to -infinity</t>
        </is>
      </c>
      <c r="H25" s="2" t="inlineStr">
        <is>
          <t>yes</t>
        </is>
      </c>
      <c r="I25" s="2" t="inlineStr">
        <is>
          <t>rewrote ratio as e^{g-f}, difference to minus infinity</t>
        </is>
      </c>
      <c r="J25" s="2" t="inlineStr">
        <is>
          <t>yes-&gt;yes</t>
        </is>
      </c>
    </row>
    <row r="26">
      <c r="A26" s="2" t="n">
        <v>229</v>
      </c>
      <c r="B26" s="2" t="inlineStr">
        <is>
          <t>q_35870</t>
        </is>
      </c>
      <c r="C26" s="2" t="inlineStr">
        <is>
          <t>Mathematics -&gt; Applied Mathematics -&gt; Other</t>
        </is>
      </c>
      <c r="D26" s="2" t="n">
        <v>6.5</v>
      </c>
      <c r="E26" s="2" t="inlineStr">
        <is>
          <t>Determine whether the following statement is true or false: Any feasible solution of a linear programming problem can be</t>
        </is>
      </c>
      <c r="F26" s="2" t="inlineStr">
        <is>
          <t>yes</t>
        </is>
      </c>
      <c r="G26" s="2" t="inlineStr">
        <is>
          <t>boundedness check, recession cone, ray counterexample</t>
        </is>
      </c>
      <c r="H26" s="2" t="inlineStr">
        <is>
          <t>yes</t>
        </is>
      </c>
      <c r="I26" s="2" t="inlineStr">
        <is>
          <t>unbounded ray counterexample, boundedness distinction</t>
        </is>
      </c>
      <c r="J26" s="2" t="inlineStr">
        <is>
          <t>yes-&gt;yes</t>
        </is>
      </c>
    </row>
    <row r="27">
      <c r="A27" s="2" t="n">
        <v>241</v>
      </c>
      <c r="B27" s="2" t="inlineStr">
        <is>
          <t>q_31789</t>
        </is>
      </c>
      <c r="C27" s="2" t="inlineStr">
        <is>
          <t>Mathematics -&gt; Precalculus -&gt; Limits</t>
        </is>
      </c>
      <c r="D27" s="2" t="n">
        <v>5</v>
      </c>
      <c r="E27" s="2" t="inlineStr">
        <is>
          <t>Evaluate the limit: $$\lim_{x\rightarrow 0}\left(\frac{1}{\log(x+\sqrt{1+x^2})}-\frac{1}{\log(1+x)}\right)$$</t>
        </is>
      </c>
      <c r="F27" s="2" t="inlineStr">
        <is>
          <t>yes</t>
        </is>
      </c>
      <c r="G27" s="2" t="inlineStr">
        <is>
          <t>combined single fraction, Taylor expansions of both logs</t>
        </is>
      </c>
      <c r="H27" s="2" t="inlineStr">
        <is>
          <t>yes</t>
        </is>
      </c>
      <c r="I27" s="2" t="inlineStr">
        <is>
          <t>single fraction then Taylor expansions of both logs</t>
        </is>
      </c>
      <c r="J27" s="2" t="inlineStr">
        <is>
          <t>yes-&gt;yes</t>
        </is>
      </c>
    </row>
    <row r="28">
      <c r="A28" s="2" t="n">
        <v>249</v>
      </c>
      <c r="B28" s="2" t="inlineStr">
        <is>
          <t>q_90463</t>
        </is>
      </c>
      <c r="C28" s="2" t="inlineStr">
        <is>
          <t>Mathematics -&gt; Calculus -&gt; Differential Calculus -&gt; Derivatives</t>
        </is>
      </c>
      <c r="D28" s="2" t="n">
        <v>6</v>
      </c>
      <c r="E28" s="2" t="inlineStr">
        <is>
          <t xml:space="preserve">Pass a line through the point \( P(0,1) \) such that it intersects the parabola \( y = x^2 \) at two distinct points \( </t>
        </is>
      </c>
      <c r="F28" s="2" t="inlineStr">
        <is>
          <t>yes</t>
        </is>
      </c>
      <c r="G28" s="2" t="inlineStr">
        <is>
          <t>slope parameterization, Vieta roots, distance minimized over m</t>
        </is>
      </c>
      <c r="H28" s="2" t="inlineStr">
        <is>
          <t>yes</t>
        </is>
      </c>
      <c r="I28" s="2" t="inlineStr">
        <is>
          <t>Vieta substitution, tangent intersection, slope parameterization, t=m^2</t>
        </is>
      </c>
      <c r="J28" s="2" t="inlineStr">
        <is>
          <t>yes-&gt;yes</t>
        </is>
      </c>
    </row>
    <row r="29">
      <c r="A29" s="2" t="n">
        <v>256</v>
      </c>
      <c r="B29" s="2" t="inlineStr">
        <is>
          <t>q_20995</t>
        </is>
      </c>
      <c r="C29" s="2" t="inlineStr">
        <is>
          <t>Mathematics -&gt; Differential Equations -&gt; Ordinary Differential Equations (ODEs)</t>
        </is>
      </c>
      <c r="D29" s="2" t="n">
        <v>6.5</v>
      </c>
      <c r="E29" s="2" t="inlineStr">
        <is>
          <t>Determine whether there is a real solution to the differential equation \( \frac{d^4y}{dx^4} = -y \).</t>
        </is>
      </c>
      <c r="F29" s="2" t="inlineStr">
        <is>
          <t>yes</t>
        </is>
      </c>
      <c r="G29" s="2" t="inlineStr">
        <is>
          <t>characteristic equation, conjugate roots, real linear combination</t>
        </is>
      </c>
      <c r="H29" s="2" t="inlineStr">
        <is>
          <t>yes</t>
        </is>
      </c>
      <c r="I29" s="2" t="inlineStr">
        <is>
          <t>characteristic equation, De Moivre roots, real basis from conjugate pairs</t>
        </is>
      </c>
      <c r="J29" s="2" t="inlineStr">
        <is>
          <t>yes-&gt;yes</t>
        </is>
      </c>
    </row>
    <row r="30">
      <c r="A30" s="2" t="n">
        <v>258</v>
      </c>
      <c r="B30" s="2" t="inlineStr">
        <is>
          <t>q_36393</t>
        </is>
      </c>
      <c r="C30" s="2" t="inlineStr">
        <is>
          <t>Mathematics -&gt; Precalculus -&gt; Limits</t>
        </is>
      </c>
      <c r="D30" s="2" t="n">
        <v>5</v>
      </c>
      <c r="E30" s="2" t="inlineStr">
        <is>
          <t>Evaluate the limit: $$\lim_{x \to 0} \ln\left(\frac{\cos x}{1+\sin x}\right)^{\frac{1}{x}}$$.</t>
        </is>
      </c>
      <c r="F30" s="2" t="inlineStr">
        <is>
          <t>yes</t>
        </is>
      </c>
      <c r="G30" s="2" t="inlineStr">
        <is>
          <t>log power rule, decomposition, Taylor series expansion</t>
        </is>
      </c>
      <c r="H30" s="2" t="inlineStr">
        <is>
          <t>yes</t>
        </is>
      </c>
      <c r="I30" s="2" t="inlineStr">
        <is>
          <t>log power rule, decomposition, Maclaurin expansions</t>
        </is>
      </c>
      <c r="J30" s="2" t="inlineStr">
        <is>
          <t>yes-&gt;yes</t>
        </is>
      </c>
    </row>
    <row r="31">
      <c r="A31" s="2" t="n">
        <v>266</v>
      </c>
      <c r="B31" s="2" t="inlineStr">
        <is>
          <t>q_18654</t>
        </is>
      </c>
      <c r="C31" s="2" t="inlineStr">
        <is>
          <t>Mathematics -&gt; Differential Equations -&gt; Ordinary Differential Equations (ODEs)</t>
        </is>
      </c>
      <c r="D31" s="2" t="n">
        <v>5.5</v>
      </c>
      <c r="E31" s="2" t="inlineStr">
        <is>
          <t xml:space="preserve">Given the differential equation \((xy^3 + x^2y^7)\frac{dy}{dx} = 1\) and the initial condition \(y(1/4) = 1\), find the </t>
        </is>
      </c>
      <c r="F31" s="2" t="inlineStr">
        <is>
          <t>no</t>
        </is>
      </c>
      <c r="G31" s="2" t="inlineStr">
        <is>
          <t>directly substituted y=-1; never inverted or solved ODE</t>
        </is>
      </c>
      <c r="H31" s="2" t="inlineStr">
        <is>
          <t>no</t>
        </is>
      </c>
      <c r="I31" s="2" t="inlineStr">
        <is>
          <t>never solved ODE; ad-hoc sign symmetry, no inversion/Bernoulli</t>
        </is>
      </c>
      <c r="J31" s="2" t="inlineStr">
        <is>
          <t>no-&gt;no</t>
        </is>
      </c>
    </row>
    <row r="32">
      <c r="A32" s="2" t="n">
        <v>267</v>
      </c>
      <c r="B32" s="2" t="inlineStr">
        <is>
          <t>q_50465</t>
        </is>
      </c>
      <c r="C32" s="2" t="inlineStr">
        <is>
          <t>Mathematics -&gt; Number Theory -&gt; Congruences</t>
        </is>
      </c>
      <c r="D32" s="2" t="n">
        <v>6</v>
      </c>
      <c r="E32" s="2" t="inlineStr">
        <is>
          <t>Find the unique number \( \alpha \) such that \( 0 \leq \alpha &lt; 210 \) and satisfies the following system of congruence</t>
        </is>
      </c>
      <c r="F32" s="2" t="inlineStr">
        <is>
          <t>yes</t>
        </is>
      </c>
      <c r="G32" s="2" t="inlineStr">
        <is>
          <t>residue brute force then iterative CRT substitution</t>
        </is>
      </c>
      <c r="H32" s="2" t="inlineStr">
        <is>
          <t>yes</t>
        </is>
      </c>
      <c r="I32" s="2" t="inlineStr">
        <is>
          <t>residue testing per modulus, iterative substitution CRT</t>
        </is>
      </c>
      <c r="J32" s="2" t="inlineStr">
        <is>
          <t>yes-&gt;yes</t>
        </is>
      </c>
    </row>
    <row r="33">
      <c r="A33" s="2" t="n">
        <v>272</v>
      </c>
      <c r="B33" s="2" t="inlineStr">
        <is>
          <t>q_69788</t>
        </is>
      </c>
      <c r="C33" s="2" t="inlineStr">
        <is>
          <t>Mathematics -&gt; Discrete Mathematics -&gt; Graph Theory</t>
        </is>
      </c>
      <c r="D33" s="2" t="n">
        <v>4</v>
      </c>
      <c r="E33" s="2" t="inlineStr">
        <is>
          <t>In a directed graph, there are two cycles: one cycle consists of 2 vertices, and the other consists of 3 vertices. Deter</t>
        </is>
      </c>
      <c r="F33" s="2" t="inlineStr">
        <is>
          <t>yes</t>
        </is>
      </c>
      <c r="G33" s="2" t="inlineStr">
        <is>
          <t>counted ordered 2/3-cycle compositions summing to twelve</t>
        </is>
      </c>
      <c r="H33" s="2" t="inlineStr">
        <is>
          <t>yes</t>
        </is>
      </c>
      <c r="I33" s="2" t="inlineStr">
        <is>
          <t>recurrence f(n)=f(n-2)+f(n-3) with card's base cases</t>
        </is>
      </c>
      <c r="J33" s="2" t="inlineStr">
        <is>
          <t>yes-&gt;yes</t>
        </is>
      </c>
    </row>
    <row r="34">
      <c r="A34" s="2" t="n">
        <v>287</v>
      </c>
      <c r="B34" s="2" t="inlineStr">
        <is>
          <t>q_68091</t>
        </is>
      </c>
      <c r="C34" s="2" t="inlineStr">
        <is>
          <t>Mathematics -&gt; Number Theory -&gt; Congruences</t>
        </is>
      </c>
      <c r="D34" s="2" t="n">
        <v>7</v>
      </c>
      <c r="E34" s="2" t="inlineStr">
        <is>
          <t>Calculate the last two digits of \(14^{14^{14}}\) using modular arithmetic.</t>
        </is>
      </c>
      <c r="F34" s="2" t="inlineStr">
        <is>
          <t>yes</t>
        </is>
      </c>
      <c r="G34" s="2" t="inlineStr">
        <is>
          <t>CRT mod 4 and 25, Euler exponent reduction</t>
        </is>
      </c>
      <c r="H34" s="2" t="inlineStr">
        <is>
          <t>yes</t>
        </is>
      </c>
      <c r="I34" s="2" t="inlineStr">
        <is>
          <t>CRT mod 4 and 25, exponent reduced mod 20</t>
        </is>
      </c>
      <c r="J34" s="2" t="inlineStr">
        <is>
          <t>yes-&gt;yes</t>
        </is>
      </c>
    </row>
    <row r="35">
      <c r="A35" s="2" t="n">
        <v>296</v>
      </c>
      <c r="B35" s="2" t="inlineStr">
        <is>
          <t>q_95121</t>
        </is>
      </c>
      <c r="C35" s="2" t="inlineStr">
        <is>
          <t>Mathematics -&gt; Algebra -&gt; Linear Algebra -&gt; Vectors</t>
        </is>
      </c>
      <c r="D35" s="2" t="n">
        <v>4</v>
      </c>
      <c r="E35" s="2" t="inlineStr">
        <is>
          <t>Find the vector $\mathbf{v}$ such that \[\operatorname{proj}_{\begin{pmatrix} 2 \\ 1 \end{pmatrix}} \mathbf{v} = \begin{</t>
        </is>
      </c>
      <c r="F35" s="2" t="inlineStr">
        <is>
          <t>yes</t>
        </is>
      </c>
      <c r="G35" s="2" t="inlineStr">
        <is>
          <t>projections converted to dot-product linear system, elimination</t>
        </is>
      </c>
      <c r="H35" s="2" t="inlineStr">
        <is>
          <t>yes</t>
        </is>
      </c>
      <c r="I35" s="2" t="inlineStr">
        <is>
          <t>converted projections to scalar dot-product equations, solved system</t>
        </is>
      </c>
      <c r="J35" s="2" t="inlineStr">
        <is>
          <t>yes-&gt;yes</t>
        </is>
      </c>
    </row>
    <row r="36">
      <c r="A36" s="2" t="n">
        <v>297</v>
      </c>
      <c r="B36" s="2" t="inlineStr">
        <is>
          <t>q_23801</t>
        </is>
      </c>
      <c r="C36" s="2" t="inlineStr">
        <is>
          <t>Mathematics -&gt; Algebra -&gt; Intermediate Algebra -&gt; Exponential Functions</t>
        </is>
      </c>
      <c r="D36" s="2" t="n">
        <v>8.5</v>
      </c>
      <c r="E36" s="2" t="inlineStr">
        <is>
          <t>Let $x \in \mathbb{R}^+$ and define the operation $x \diamond 1 = x$ and $x \diamond (n+1) = x^{x \diamond n}$ for $n \i</t>
        </is>
      </c>
      <c r="F36" s="2" t="inlineStr">
        <is>
          <t>yes</t>
        </is>
      </c>
      <c r="G36" s="2" t="inlineStr">
        <is>
          <t>functional inversion g_n monotonicity comparison across heights</t>
        </is>
      </c>
      <c r="H36" s="2" t="inlineStr">
        <is>
          <t>yes</t>
        </is>
      </c>
      <c r="I36" s="2" t="inlineStr">
        <is>
          <t>height-base trade-off and parameter shift comparison</t>
        </is>
      </c>
      <c r="J36" s="2" t="inlineStr">
        <is>
          <t>yes-&gt;yes</t>
        </is>
      </c>
    </row>
    <row r="37">
      <c r="A37" s="2" t="n">
        <v>299</v>
      </c>
      <c r="B37" s="2" t="inlineStr">
        <is>
          <t>q_102329</t>
        </is>
      </c>
      <c r="C37" s="2" t="inlineStr">
        <is>
          <t>Mathematics -&gt; Applied Mathematics -&gt; Math Word Problems</t>
        </is>
      </c>
      <c r="D37" s="2" t="n">
        <v>3</v>
      </c>
      <c r="E37" s="2" t="inlineStr">
        <is>
          <t>I want to choose a license plate which is 3 characters long, where the first character is a letter, the last character i</t>
        </is>
      </c>
      <c r="F37" s="2" t="inlineStr">
        <is>
          <t>yes</t>
        </is>
      </c>
      <c r="G37" s="2" t="inlineStr">
        <is>
          <t>case decomposition over equal pairs, misses disjoint-domain elimination</t>
        </is>
      </c>
      <c r="H37" s="2" t="inlineStr">
        <is>
          <t>yes</t>
        </is>
      </c>
      <c r="I37" s="2" t="inlineStr">
        <is>
          <t>case decomposition of equal pairs, excluded letter-digit pair</t>
        </is>
      </c>
      <c r="J37" s="2" t="inlineStr">
        <is>
          <t>yes-&gt;yes</t>
        </is>
      </c>
    </row>
    <row r="38">
      <c r="A38" s="2" t="n">
        <v>302</v>
      </c>
      <c r="B38" s="2" t="inlineStr">
        <is>
          <t>q_86232</t>
        </is>
      </c>
      <c r="C38" s="2" t="inlineStr">
        <is>
          <t>Mathematics -&gt; Geometry -&gt; Solid Geometry -&gt; 3D Shapes</t>
        </is>
      </c>
      <c r="D38" s="2" t="n">
        <v>5</v>
      </c>
      <c r="E38" s="2" t="inlineStr">
        <is>
          <t>Given that the dihedral angle \( M-AB-N \) is a right dihedral angle, and \( P \) is a point on the edge \( AB \). Lines</t>
        </is>
      </c>
      <c r="F38" s="2" t="inlineStr">
        <is>
          <t>yes</t>
        </is>
      </c>
      <c r="G38" s="2" t="inlineStr">
        <is>
          <t>edge-axis coordinates, direction vectors, dot product</t>
        </is>
      </c>
      <c r="H38" s="2" t="inlineStr">
        <is>
          <t>yes</t>
        </is>
      </c>
      <c r="I38" s="2" t="inlineStr">
        <is>
          <t>coordinate system, unit direction vectors, dot product</t>
        </is>
      </c>
      <c r="J38" s="2" t="inlineStr">
        <is>
          <t>yes-&gt;yes</t>
        </is>
      </c>
    </row>
    <row r="39">
      <c r="A39" s="2" t="n">
        <v>306</v>
      </c>
      <c r="B39" s="2" t="inlineStr">
        <is>
          <t>q_6760</t>
        </is>
      </c>
      <c r="C39" s="2" t="inlineStr">
        <is>
          <t>Mathematics -&gt; Calculus -&gt; Differential Calculus -&gt; Other</t>
        </is>
      </c>
      <c r="D39" s="2" t="n">
        <v>7.5</v>
      </c>
      <c r="E39" s="2" t="inlineStr">
        <is>
          <t>Let $f(x)$ be a trigonometric series that converges uniformly on $[-\pi, \pi]$. If $f(x)$ is multiplied by $e^{iax}$, wh</t>
        </is>
      </c>
      <c r="F39" s="2" t="inlineStr">
        <is>
          <t>yes</t>
        </is>
      </c>
      <c r="G39" s="2" t="inlineStr">
        <is>
          <t>bounded multiplier, frequency shift, Weierstrass M-test</t>
        </is>
      </c>
      <c r="H39" s="2" t="inlineStr">
        <is>
          <t>yes</t>
        </is>
      </c>
      <c r="I39" s="2" t="inlineStr">
        <is>
          <t>invoked Bounded Multiplier Test with |e^{iax}|=1</t>
        </is>
      </c>
      <c r="J39" s="2" t="inlineStr">
        <is>
          <t>yes-&gt;yes</t>
        </is>
      </c>
    </row>
    <row r="40">
      <c r="A40" s="2" t="n">
        <v>307</v>
      </c>
      <c r="B40" s="2" t="inlineStr">
        <is>
          <t>q_81381</t>
        </is>
      </c>
      <c r="C40" s="2" t="inlineStr">
        <is>
          <t>Mathematics -&gt; Calculus -&gt; Integral Calculus -&gt; Techniques of Integration -&gt; Single-variable</t>
        </is>
      </c>
      <c r="D40" s="2" t="n">
        <v>6</v>
      </c>
      <c r="E40" s="2" t="inlineStr">
        <is>
          <t>Evaluate the integral \( \int_0^\infty \frac{dx}{1+x^6} \).</t>
        </is>
      </c>
      <c r="F40" s="2" t="inlineStr">
        <is>
          <t>yes</t>
        </is>
      </c>
      <c r="G40" s="2" t="inlineStr">
        <is>
          <t>applied pi/n csc(m pi/n) identity directly</t>
        </is>
      </c>
      <c r="H40" s="2" t="inlineStr">
        <is>
          <t>yes</t>
        </is>
      </c>
      <c r="I40" s="2" t="inlineStr">
        <is>
          <t>applies pi/n csc(m pi/n) identity with m=1</t>
        </is>
      </c>
      <c r="J40" s="2" t="inlineStr">
        <is>
          <t>yes-&gt;yes</t>
        </is>
      </c>
    </row>
    <row r="41">
      <c r="A41" s="2" t="n">
        <v>316</v>
      </c>
      <c r="B41" s="2" t="inlineStr">
        <is>
          <t>q_24113</t>
        </is>
      </c>
      <c r="C41" s="2" t="inlineStr">
        <is>
          <t>Mathematics -&gt; Number Theory -&gt; Prime Numbers</t>
        </is>
      </c>
      <c r="D41" s="2" t="n">
        <v>6.5</v>
      </c>
      <c r="E41" s="2" t="inlineStr">
        <is>
          <t>Let $p_i$ $(1 \leq i \leq m)$ be primes such that $p_i &lt; 2(3^{k-1})+1 $, where $k \in \mathbb{N}$. Let $a=p_1^{\alpha_1}</t>
        </is>
      </c>
      <c r="F41" s="2" t="inlineStr">
        <is>
          <t>yes</t>
        </is>
      </c>
      <c r="G41" s="2" t="inlineStr">
        <is>
          <t>recognizes totient, lists bounded primes, tests small k cases</t>
        </is>
      </c>
      <c r="H41" s="2" t="inlineStr">
        <is>
          <t>yes</t>
        </is>
      </c>
      <c r="I41" s="2" t="inlineStr">
        <is>
          <t>tested k=1,2, built counterexample, growth-rate argument</t>
        </is>
      </c>
      <c r="J41" s="2" t="inlineStr">
        <is>
          <t>yes-&gt;yes</t>
        </is>
      </c>
    </row>
    <row r="42">
      <c r="A42" s="2" t="n">
        <v>317</v>
      </c>
      <c r="B42" s="2" t="inlineStr">
        <is>
          <t>q_58510</t>
        </is>
      </c>
      <c r="C42" s="2" t="inlineStr">
        <is>
          <t>Mathematics -&gt; Calculus -&gt; Differential Calculus -&gt; Applications of Derivatives</t>
        </is>
      </c>
      <c r="D42" s="2" t="n">
        <v>7.5</v>
      </c>
      <c r="E42" s="2" t="inlineStr">
        <is>
          <t>Given that the function \( f(x) = \sin(2x) - 8(a+1)\sin x + (4a^2 + 8a - 14)x \) is strictly increasing for all \( x \in</t>
        </is>
      </c>
      <c r="F42" s="2" t="inlineStr">
        <is>
          <t>yes</t>
        </is>
      </c>
      <c r="G42" s="2" t="inlineStr">
        <is>
          <t>differentiated, double-angle to quadratic in cos x, vertex analysis</t>
        </is>
      </c>
      <c r="H42" s="2" t="inlineStr">
        <is>
          <t>yes</t>
        </is>
      </c>
      <c r="I42" s="2" t="inlineStr">
        <is>
          <t>differentiated, quadratic in t=cos x over [-1,1], positivity analysis</t>
        </is>
      </c>
      <c r="J42" s="2" t="inlineStr">
        <is>
          <t>yes-&gt;yes</t>
        </is>
      </c>
    </row>
    <row r="43">
      <c r="A43" s="2" t="n">
        <v>320</v>
      </c>
      <c r="B43" s="2" t="inlineStr">
        <is>
          <t>q_4883</t>
        </is>
      </c>
      <c r="C43" s="2" t="inlineStr">
        <is>
          <t>Mathematics -&gt; Algebra -&gt; Abstract Algebra -&gt; Other</t>
        </is>
      </c>
      <c r="D43" s="2" t="n">
        <v>7.5</v>
      </c>
      <c r="E43" s="2" t="inlineStr">
        <is>
          <t xml:space="preserve">Find all functions \( f: \mathbb{R} \to \mathbb{R} \) such that for any real numbers \( x \) and \( y \), the following </t>
        </is>
      </c>
      <c r="F43" s="2" t="inlineStr">
        <is>
          <t>yes</t>
        </is>
      </c>
      <c r="G43" s="2" t="inlineStr">
        <is>
          <t>proved injectivity, y=0 substitution, unwrapped to linear form</t>
        </is>
      </c>
      <c r="H43" s="2" t="inlineStr">
        <is>
          <t>yes</t>
        </is>
      </c>
      <c r="I43" s="2" t="inlineStr">
        <is>
          <t>proved injectivity, y=0 substitution, unwrapped to linear form</t>
        </is>
      </c>
      <c r="J43" s="2" t="inlineStr">
        <is>
          <t>yes-&gt;yes</t>
        </is>
      </c>
    </row>
    <row r="44">
      <c r="A44" s="2" t="n">
        <v>324</v>
      </c>
      <c r="B44" s="2" t="inlineStr">
        <is>
          <t>q_91378</t>
        </is>
      </c>
      <c r="C44" s="2" t="inlineStr">
        <is>
          <t>Mathematics -&gt; Algebra -&gt; Intermediate Algebra -&gt; Other</t>
        </is>
      </c>
      <c r="D44" s="2" t="n">
        <v>5.5</v>
      </c>
      <c r="E44" s="2" t="inlineStr">
        <is>
          <t>Suppose that \( f_{1}(x)=\frac{1}{2-x} \). For each positive integer \( n \geq 2 \), define \( f_{n}(x)=f_{1}\left(f_{n-</t>
        </is>
      </c>
      <c r="F44" s="2" t="inlineStr">
        <is>
          <t>yes</t>
        </is>
      </c>
      <c r="G44" s="2" t="inlineStr">
        <is>
          <t>computed first terms, identified pattern, induction verification</t>
        </is>
      </c>
      <c r="H44" s="2" t="inlineStr">
        <is>
          <t>yes</t>
        </is>
      </c>
      <c r="I44" s="2" t="inlineStr">
        <is>
          <t>computed first four iterates, pattern, induction verification</t>
        </is>
      </c>
      <c r="J44" s="2" t="inlineStr">
        <is>
          <t>yes-&gt;yes</t>
        </is>
      </c>
    </row>
    <row r="45">
      <c r="A45" s="2" t="n">
        <v>332</v>
      </c>
      <c r="B45" s="2" t="inlineStr">
        <is>
          <t>q_97729</t>
        </is>
      </c>
      <c r="C45" s="2" t="inlineStr">
        <is>
          <t>Mathematics -&gt; Algebra -&gt; Prealgebra -&gt; Integers</t>
        </is>
      </c>
      <c r="D45" s="2" t="n">
        <v>5</v>
      </c>
      <c r="E45" s="2" t="inlineStr">
        <is>
          <t>Let $S = \{2^0,2^1,2^2,\ldots,2^{10}\}$. Consider all possible positive differences of pairs of elements of $S$. Let $N$</t>
        </is>
      </c>
      <c r="F45" s="2" t="inlineStr">
        <is>
          <t>yes</t>
        </is>
      </c>
      <c r="G45" s="2" t="inlineStr">
        <is>
          <t>contribution method with arithmetico-geometric sums</t>
        </is>
      </c>
      <c r="H45" s="2" t="inlineStr">
        <is>
          <t>yes</t>
        </is>
      </c>
      <c r="I45" s="2" t="inlineStr">
        <is>
          <t>contribution method plus geometric and arithmetico-geometric split</t>
        </is>
      </c>
      <c r="J45" s="2" t="inlineStr">
        <is>
          <t>yes-&gt;yes</t>
        </is>
      </c>
    </row>
    <row r="46">
      <c r="A46" s="2" t="n">
        <v>333</v>
      </c>
      <c r="B46" s="2" t="inlineStr">
        <is>
          <t>q_86713</t>
        </is>
      </c>
      <c r="C46" s="2" t="inlineStr">
        <is>
          <t>Mathematics -&gt; Discrete Mathematics -&gt; Combinatorics</t>
        </is>
      </c>
      <c r="D46" s="2" t="n">
        <v>5.5</v>
      </c>
      <c r="E46" s="2" t="inlineStr">
        <is>
          <t>A circle is divided into \( n \) sectors, labeled sequentially as \( s_1, s_2, \cdots, s_n \), where \( n \geq 2 \). Eac</t>
        </is>
      </c>
      <c r="F46" s="2" t="inlineStr">
        <is>
          <t>yes</t>
        </is>
      </c>
      <c r="G46" s="2" t="inlineStr">
        <is>
          <t>applied cycle chromatic polynomial (k-1)^n+(-1)^n(k-1)</t>
        </is>
      </c>
      <c r="H46" s="2" t="inlineStr">
        <is>
          <t>yes</t>
        </is>
      </c>
      <c r="I46" s="2" t="inlineStr">
        <is>
          <t>applied cycle chromatic polynomial (k-1)^n+(-1)^n(k-1)</t>
        </is>
      </c>
      <c r="J46" s="2" t="inlineStr">
        <is>
          <t>yes-&gt;yes</t>
        </is>
      </c>
    </row>
    <row r="47">
      <c r="A47" s="2" t="n">
        <v>335</v>
      </c>
      <c r="B47" s="2" t="inlineStr">
        <is>
          <t>q_3845</t>
        </is>
      </c>
      <c r="C47" s="2" t="inlineStr">
        <is>
          <t>Mathematics -&gt; Calculus -&gt; Integral Calculus -&gt; Techniques of Integration -&gt; Multi-variable</t>
        </is>
      </c>
      <c r="D47" s="2" t="n">
        <v>5.5</v>
      </c>
      <c r="E47" s="2" t="inlineStr">
        <is>
          <t>Evaluate the double integral \( \iint_D (x + y) \, dx \, dy \) over the region \( D = \{(x,y) \mid 0 \leq y \leq x, 0 \l</t>
        </is>
      </c>
      <c r="F47" s="2" t="inlineStr">
        <is>
          <t>yes</t>
        </is>
      </c>
      <c r="G47" s="2" t="inlineStr">
        <is>
          <t>Jacobian computed, region transformed, verified against direct integral</t>
        </is>
      </c>
      <c r="H47" s="2" t="inlineStr">
        <is>
          <t>yes</t>
        </is>
      </c>
      <c r="I47" s="2" t="inlineStr">
        <is>
          <t>Jacobian change of variables plus direct-integral verification</t>
        </is>
      </c>
      <c r="J47" s="2" t="inlineStr">
        <is>
          <t>yes-&gt;yes</t>
        </is>
      </c>
    </row>
    <row r="48">
      <c r="A48" s="2" t="n">
        <v>337</v>
      </c>
      <c r="B48" s="2" t="inlineStr">
        <is>
          <t>q_32287</t>
        </is>
      </c>
      <c r="C48" s="2" t="inlineStr">
        <is>
          <t>Mathematics -&gt; Calculus -&gt; Integral Calculus -&gt; Techniques of Integration -&gt; Single-variable</t>
        </is>
      </c>
      <c r="D48" s="2" t="n">
        <v>9</v>
      </c>
      <c r="E48" s="2" t="inlineStr">
        <is>
          <t>Determine whether the following sum is correct: \[ \sum_{k=1}^{\infty}\left(\frac{1}{kx}+\frac{1}{kx-1}+\frac{1}{kx-2}+\</t>
        </is>
      </c>
      <c r="F48" s="2" t="inlineStr">
        <is>
          <t>unclear</t>
        </is>
      </c>
      <c r="G48" s="2" t="inlineStr">
        <is>
          <t>integral approach gave 0; harmonic strategy mentioned, answer asserted</t>
        </is>
      </c>
      <c r="H48" s="2" t="inlineStr">
        <is>
          <t>yes</t>
        </is>
      </c>
      <c r="I48" s="2" t="inlineStr">
        <is>
          <t>harmonic number differences, asymptotic expansion, telescoping logs</t>
        </is>
      </c>
      <c r="J48" s="2" t="inlineStr">
        <is>
          <t>unclear-&gt;yes</t>
        </is>
      </c>
    </row>
    <row r="49">
      <c r="A49" s="2" t="n">
        <v>338</v>
      </c>
      <c r="B49" s="2" t="inlineStr">
        <is>
          <t>q_57523</t>
        </is>
      </c>
      <c r="C49" s="2" t="inlineStr">
        <is>
          <t>Mathematics -&gt; Calculus -&gt; Integral Calculus -&gt; Techniques of Integration -&gt; Multi-variable</t>
        </is>
      </c>
      <c r="D49" s="2" t="n">
        <v>6</v>
      </c>
      <c r="E49" s="2" t="inlineStr">
        <is>
          <t>Evaluate the definite integral: $$ \int_{-\pi/2}^{\pi/2}\int_{-\pi/2}^{\pi/2} \sin\left(\,{\left\lvert\, {x - y\,}\right</t>
        </is>
      </c>
      <c r="F49" s="2" t="inlineStr">
        <is>
          <t>yes</t>
        </is>
      </c>
      <c r="G49" s="2" t="inlineStr">
        <is>
          <t>split square into triangles, doubled one half</t>
        </is>
      </c>
      <c r="H49" s="2" t="inlineStr">
        <is>
          <t>yes</t>
        </is>
      </c>
      <c r="I49" s="2" t="inlineStr">
        <is>
          <t>split domain across y=x symmetry and doubled</t>
        </is>
      </c>
      <c r="J49" s="2" t="inlineStr">
        <is>
          <t>yes-&gt;yes</t>
        </is>
      </c>
    </row>
    <row r="50">
      <c r="A50" s="2" t="n">
        <v>340</v>
      </c>
      <c r="B50" s="2" t="inlineStr">
        <is>
          <t>q_99208</t>
        </is>
      </c>
      <c r="C50" s="2" t="inlineStr">
        <is>
          <t>Mathematics -&gt; Algebra -&gt; Intermediate Algebra -&gt; Exponential Functions</t>
        </is>
      </c>
      <c r="D50" s="2" t="n">
        <v>3</v>
      </c>
      <c r="E50" s="2" t="inlineStr">
        <is>
          <t>What is the tenth term in the geometric sequence $9,3,1,\frac 13, \ldots$?</t>
        </is>
      </c>
      <c r="F50" s="2" t="inlineStr">
        <is>
          <t>yes</t>
        </is>
      </c>
      <c r="G50" s="2" t="inlineStr">
        <is>
          <t>applied a_n = a1 r^{n-1} with exact fractions</t>
        </is>
      </c>
      <c r="H50" s="2" t="inlineStr">
        <is>
          <t>yes</t>
        </is>
      </c>
      <c r="I50" s="2" t="inlineStr">
        <is>
          <t>verified ratio, applied a1*r^(n-1), kept exact fractions</t>
        </is>
      </c>
      <c r="J50" s="2" t="inlineStr">
        <is>
          <t>yes-&gt;yes</t>
        </is>
      </c>
    </row>
    <row r="51">
      <c r="A51" s="2" t="n">
        <v>342</v>
      </c>
      <c r="B51" s="2" t="inlineStr">
        <is>
          <t>q_96189</t>
        </is>
      </c>
      <c r="C51" s="2" t="inlineStr">
        <is>
          <t>Mathematics -&gt; Geometry -&gt; Plane Geometry -&gt; Other</t>
        </is>
      </c>
      <c r="D51" s="2" t="n">
        <v>4</v>
      </c>
      <c r="E51" s="2" t="inlineStr">
        <is>
          <t>A circle with center $C$ is tangent to the positive $x$ and $y$-axes and externally tangent to the circle centered at $(</t>
        </is>
      </c>
      <c r="F51" s="2" t="inlineStr">
        <is>
          <t>yes</t>
        </is>
      </c>
      <c r="G51" s="2" t="inlineStr">
        <is>
          <t>center (r,r), external tangency equation, summed quadratic roots</t>
        </is>
      </c>
      <c r="H51" s="2" t="inlineStr">
        <is>
          <t>yes</t>
        </is>
      </c>
      <c r="I51" s="2" t="inlineStr">
        <is>
          <t>center (r,r), external tangency distance equation, Vieta sum</t>
        </is>
      </c>
      <c r="J51" s="2" t="inlineStr">
        <is>
          <t>yes-&gt;yes</t>
        </is>
      </c>
    </row>
    <row r="52">
      <c r="A52" s="2" t="n">
        <v>348</v>
      </c>
      <c r="B52" s="2" t="inlineStr">
        <is>
          <t>q_64299</t>
        </is>
      </c>
      <c r="C52" s="2" t="inlineStr">
        <is>
          <t>Mathematics -&gt; Algebra -&gt; Abstract Algebra -&gt; Group Theory</t>
        </is>
      </c>
      <c r="D52" s="2" t="n">
        <v>8.5</v>
      </c>
      <c r="E52" s="2" t="inlineStr">
        <is>
          <t>Determine whether there exists a path-connected topological space such that its fundamental group is non-trivial, but it</t>
        </is>
      </c>
      <c r="F52" s="2" t="inlineStr">
        <is>
          <t>yes</t>
        </is>
      </c>
      <c r="G52" s="2" t="inlineStr">
        <is>
          <t>Hurewicz theorem, perfect group A5, presentation 2-complex</t>
        </is>
      </c>
      <c r="H52" s="2" t="inlineStr">
        <is>
          <t>yes</t>
        </is>
      </c>
      <c r="I52" s="2" t="inlineStr">
        <is>
          <t>Hurewicz theorem, perfect group A5, presentation 2-complex</t>
        </is>
      </c>
      <c r="J52" s="2" t="inlineStr">
        <is>
          <t>yes-&gt;yes</t>
        </is>
      </c>
    </row>
    <row r="53">
      <c r="A53" s="2" t="n">
        <v>351</v>
      </c>
      <c r="B53" s="2" t="inlineStr">
        <is>
          <t>q_34693</t>
        </is>
      </c>
      <c r="C53" s="2" t="inlineStr">
        <is>
          <t>Mathematics -&gt; Algebra -&gt; Linear Algebra -&gt; Linear Transformations</t>
        </is>
      </c>
      <c r="D53" s="2" t="n">
        <v>4.5</v>
      </c>
      <c r="E53" s="2" t="inlineStr">
        <is>
          <t>Can the Gram-Schmidt process be used to construct an orthonormal basis from a linearly independent subset of an inner pr</t>
        </is>
      </c>
      <c r="F53" s="2" t="inlineStr">
        <is>
          <t>yes</t>
        </is>
      </c>
      <c r="G53" s="2" t="inlineStr">
        <is>
          <t>distinguished span basis versus whole-space basis</t>
        </is>
      </c>
      <c r="H53" s="2" t="inlineStr">
        <is>
          <t>yes</t>
        </is>
      </c>
      <c r="I53" s="2" t="inlineStr">
        <is>
          <t>distinguished span basis versus whole-space basis</t>
        </is>
      </c>
      <c r="J53" s="2" t="inlineStr">
        <is>
          <t>yes-&gt;yes</t>
        </is>
      </c>
    </row>
    <row r="54">
      <c r="A54" s="2" t="n">
        <v>352</v>
      </c>
      <c r="B54" s="2" t="inlineStr">
        <is>
          <t>q_138</t>
        </is>
      </c>
      <c r="C54" s="2" t="inlineStr">
        <is>
          <t>Mathematics -&gt; Geometry -&gt; Differential Geometry -&gt; Manifolds</t>
        </is>
      </c>
      <c r="D54" s="2" t="n">
        <v>9</v>
      </c>
      <c r="E54" s="2" t="inlineStr">
        <is>
          <t xml:space="preserve">Does the Witten-Reshetikhin-Turaev invariant detect the hyperelliptic involution on a genus 2 surface? Specifically, if </t>
        </is>
      </c>
      <c r="F54" s="2" t="inlineStr">
        <is>
          <t>yes</t>
        </is>
      </c>
      <c r="G54" s="2" t="inlineStr">
        <is>
          <t>non-uniform central action on TQFT space, trace argument</t>
        </is>
      </c>
      <c r="H54" s="2" t="inlineStr">
        <is>
          <t>yes</t>
        </is>
      </c>
      <c r="I54" s="2" t="inlineStr">
        <is>
          <t>central element acts as different scalars, trace differs argument</t>
        </is>
      </c>
      <c r="J54" s="2" t="inlineStr">
        <is>
          <t>yes-&gt;yes</t>
        </is>
      </c>
    </row>
    <row r="55">
      <c r="A55" s="2" t="n">
        <v>376</v>
      </c>
      <c r="B55" s="2" t="inlineStr">
        <is>
          <t>q_66750</t>
        </is>
      </c>
      <c r="C55" s="2" t="inlineStr">
        <is>
          <t>Mathematics -&gt; Algebra -&gt; Algebra -&gt; Polynomial Operations</t>
        </is>
      </c>
      <c r="D55" s="2" t="n">
        <v>5</v>
      </c>
      <c r="E55" s="2" t="inlineStr">
        <is>
          <t>Find the polynomial \( g(x) \) with real coefficients that satisfies the equation \((x-3)g(x+2) = (x+1)g(x)\), given tha</t>
        </is>
      </c>
      <c r="F55" s="2" t="inlineStr">
        <is>
          <t>yes</t>
        </is>
      </c>
      <c r="G55" s="2" t="inlineStr">
        <is>
          <t>iterative factor extraction, infinite roots force zero polynomial</t>
        </is>
      </c>
      <c r="H55" s="2" t="inlineStr">
        <is>
          <t>yes</t>
        </is>
      </c>
      <c r="I55" s="2" t="inlineStr">
        <is>
          <t>iterative factor extraction forcing zero polynomial</t>
        </is>
      </c>
      <c r="J55" s="2" t="inlineStr">
        <is>
          <t>yes-&gt;yes</t>
        </is>
      </c>
    </row>
    <row r="56">
      <c r="A56" s="2" t="n">
        <v>377</v>
      </c>
      <c r="B56" s="2" t="inlineStr">
        <is>
          <t>q_65030</t>
        </is>
      </c>
      <c r="C56" s="2" t="inlineStr">
        <is>
          <t>Mathematics -&gt; Algebra -&gt; Intermediate Algebra -&gt; Exponential Functions</t>
        </is>
      </c>
      <c r="D56" s="2" t="n">
        <v>8</v>
      </c>
      <c r="E56" s="2" t="inlineStr">
        <is>
          <t>Determine the greatest value of \( p \) such that the series \[ \sum_{n=1}^{\infty}(-1)^n \cdot \tan \left(\frac{1}{\sqr</t>
        </is>
      </c>
      <c r="F56" s="2" t="inlineStr">
        <is>
          <t>yes</t>
        </is>
      </c>
      <c r="G56" s="2" t="inlineStr">
        <is>
          <t>Taylor asymptotics, alternating test, boundary of absolute convergence</t>
        </is>
      </c>
      <c r="H56" s="2" t="inlineStr">
        <is>
          <t>yes</t>
        </is>
      </c>
      <c r="I56" s="2" t="inlineStr">
        <is>
          <t>asymptotic expansion to power law, absolute-convergence boundary p=2/5</t>
        </is>
      </c>
      <c r="J56" s="2" t="inlineStr">
        <is>
          <t>yes-&gt;yes</t>
        </is>
      </c>
    </row>
    <row r="57">
      <c r="A57" s="2" t="n">
        <v>386</v>
      </c>
      <c r="B57" s="2" t="inlineStr">
        <is>
          <t>q_10359</t>
        </is>
      </c>
      <c r="C57" s="2" t="inlineStr">
        <is>
          <t>Mathematics -&gt; Algebra -&gt; Algebra -&gt; Polynomial Operations</t>
        </is>
      </c>
      <c r="D57" s="2" t="n">
        <v>6</v>
      </c>
      <c r="E57" s="2" t="inlineStr">
        <is>
          <t>Given a polynomial $Q(x)$ with real coefficients such that $Q(1) = 1$ and \( \frac{Q(2x)}{Q(x+1)} = 8 - \frac{56}{x+7} \</t>
        </is>
      </c>
      <c r="F57" s="2" t="inlineStr">
        <is>
          <t>yes</t>
        </is>
      </c>
      <c r="G57" s="2" t="inlineStr">
        <is>
          <t>degree analysis, factored form from singularity, normalization</t>
        </is>
      </c>
      <c r="H57" s="2" t="inlineStr">
        <is>
          <t>yes</t>
        </is>
      </c>
      <c r="I57" s="2" t="inlineStr">
        <is>
          <t>degree via leading terms, singularity roots, normalization last</t>
        </is>
      </c>
      <c r="J57" s="2" t="inlineStr">
        <is>
          <t>yes-&gt;yes</t>
        </is>
      </c>
    </row>
    <row r="58">
      <c r="A58" s="2" t="n">
        <v>416</v>
      </c>
      <c r="B58" s="2" t="inlineStr">
        <is>
          <t>q_74325</t>
        </is>
      </c>
      <c r="C58" s="2" t="inlineStr">
        <is>
          <t>Mathematics -&gt; Applied Mathematics -&gt; Statistics -&gt; Probability -&gt; Other</t>
        </is>
      </c>
      <c r="D58" s="2" t="n">
        <v>5.5</v>
      </c>
      <c r="E58" s="2" t="inlineStr">
        <is>
          <t>A radioactive element decays according to a Poisson process with a rate of $10,000$ decays per second. Calculate the app</t>
        </is>
      </c>
      <c r="F58" s="2" t="inlineStr">
        <is>
          <t>yes</t>
        </is>
      </c>
      <c r="G58" s="2" t="inlineStr">
        <is>
          <t>Normal approximation of nth arrival, Z-score</t>
        </is>
      </c>
      <c r="H58" s="2" t="inlineStr">
        <is>
          <t>yes</t>
        </is>
      </c>
      <c r="I58" s="2" t="inlineStr">
        <is>
          <t>duality P(Tn&lt;=t)=P(N(t)&gt;=n), normal approximation, Z-score</t>
        </is>
      </c>
      <c r="J58" s="2" t="inlineStr">
        <is>
          <t>yes-&gt;yes</t>
        </is>
      </c>
    </row>
    <row r="59">
      <c r="A59" s="2" t="n">
        <v>419</v>
      </c>
      <c r="B59" s="2" t="inlineStr">
        <is>
          <t>q_64007</t>
        </is>
      </c>
      <c r="C59" s="2" t="inlineStr">
        <is>
          <t>Mathematics -&gt; Calculus -&gt; Differential Calculus -&gt; Derivatives</t>
        </is>
      </c>
      <c r="D59" s="2" t="n">
        <v>6</v>
      </c>
      <c r="E59" s="2" t="inlineStr">
        <is>
          <t>Given the function \( f(x) = x^5 - x^3 + 2x \), find \( g'(2) \), where \( g \) is the inverse function of \( f \).</t>
        </is>
      </c>
      <c r="F59" s="2" t="inlineStr">
        <is>
          <t>yes</t>
        </is>
      </c>
      <c r="G59" s="2" t="inlineStr">
        <is>
          <t>applied Inverse Function Theorem g'=1/f' at preimage</t>
        </is>
      </c>
      <c r="H59" s="2" t="inlineStr">
        <is>
          <t>yes</t>
        </is>
      </c>
      <c r="I59" s="2" t="inlineStr">
        <is>
          <t>inverse function theorem with root inspection x=1</t>
        </is>
      </c>
      <c r="J59" s="2" t="inlineStr">
        <is>
          <t>yes-&gt;yes</t>
        </is>
      </c>
    </row>
    <row r="60">
      <c r="A60" s="2" t="n">
        <v>422</v>
      </c>
      <c r="B60" s="2" t="inlineStr">
        <is>
          <t>q_75435</t>
        </is>
      </c>
      <c r="C60" s="2" t="inlineStr">
        <is>
          <t>Mathematics -&gt; Algebra -&gt; Abstract Algebra -&gt; Group Theory</t>
        </is>
      </c>
      <c r="D60" s="2" t="n">
        <v>5.5</v>
      </c>
      <c r="E60" s="2" t="inlineStr">
        <is>
          <t xml:space="preserve">Given a group $G$ and a proper subgroup $A$ (i.e., $A \neq G$), determine whether it is always true that for any $a \in </t>
        </is>
      </c>
      <c r="F60" s="2" t="inlineStr">
        <is>
          <t>yes</t>
        </is>
      </c>
      <c r="G60" s="2" t="inlineStr">
        <is>
          <t>coset disjointness with proof by contradiction</t>
        </is>
      </c>
      <c r="H60" s="2" t="inlineStr">
        <is>
          <t>yes</t>
        </is>
      </c>
      <c r="I60" s="2" t="inlineStr">
        <is>
          <t>coset disjointness partition argument</t>
        </is>
      </c>
      <c r="J60" s="2" t="inlineStr">
        <is>
          <t>yes-&gt;yes</t>
        </is>
      </c>
    </row>
    <row r="61">
      <c r="A61" s="2" t="n">
        <v>427</v>
      </c>
      <c r="B61" s="2" t="inlineStr">
        <is>
          <t>q_84149</t>
        </is>
      </c>
      <c r="C61" s="2" t="inlineStr">
        <is>
          <t>Mathematics -&gt; Discrete Mathematics -&gt; Logic</t>
        </is>
      </c>
      <c r="D61" s="2" t="n">
        <v>8</v>
      </c>
      <c r="E61" s="2" t="inlineStr">
        <is>
          <t>Determine whether a $\sigma$-compact manifold $M$ admits a countable dense subset.</t>
        </is>
      </c>
      <c r="F61" s="2" t="inlineStr">
        <is>
          <t>yes</t>
        </is>
      </c>
      <c r="G61" s="2" t="inlineStr">
        <is>
          <t>countable union of separable compacts, union dense</t>
        </is>
      </c>
      <c r="H61" s="2" t="inlineStr">
        <is>
          <t>yes</t>
        </is>
      </c>
      <c r="I61" s="2" t="inlineStr">
        <is>
          <t>countable union of separable compacts, union of dense sets</t>
        </is>
      </c>
      <c r="J61" s="2" t="inlineStr">
        <is>
          <t>yes-&gt;yes</t>
        </is>
      </c>
    </row>
    <row r="62">
      <c r="A62" s="2" t="n">
        <v>429</v>
      </c>
      <c r="B62" s="2" t="inlineStr">
        <is>
          <t>q_52115</t>
        </is>
      </c>
      <c r="C62" s="2" t="inlineStr">
        <is>
          <t>Mathematics -&gt; Geometry -&gt; Differential Geometry -&gt; Curvature</t>
        </is>
      </c>
      <c r="D62" s="2" t="n">
        <v>6.5</v>
      </c>
      <c r="E62" s="2" t="inlineStr">
        <is>
          <t>Does a torus have points with zero Gaussian curvature, given that it has regions of both positive and negative curvature</t>
        </is>
      </c>
      <c r="F62" s="2" t="inlineStr">
        <is>
          <t>yes</t>
        </is>
      </c>
      <c r="G62" s="2" t="inlineStr">
        <is>
          <t>applied IVT and Gauss-Bonnet to sign-changing curvature</t>
        </is>
      </c>
      <c r="H62" s="2" t="inlineStr">
        <is>
          <t>yes</t>
        </is>
      </c>
      <c r="I62" s="2" t="inlineStr">
        <is>
          <t>Gauss-Bonnet with zero Euler characteristic argument</t>
        </is>
      </c>
      <c r="J62" s="2" t="inlineStr">
        <is>
          <t>yes-&gt;yes</t>
        </is>
      </c>
    </row>
    <row r="63">
      <c r="A63" s="2" t="n">
        <v>455</v>
      </c>
      <c r="B63" s="2" t="inlineStr">
        <is>
          <t>q_84701</t>
        </is>
      </c>
      <c r="C63" s="2" t="inlineStr">
        <is>
          <t>Mathematics -&gt; Geometry -&gt; Plane Geometry -&gt; Triangulations</t>
        </is>
      </c>
      <c r="D63" s="2" t="n">
        <v>4.5</v>
      </c>
      <c r="E63" s="2" t="inlineStr">
        <is>
          <t>Find the minimum value of the expression $PA + PB + PC + PD$, where $P$ is any point in the plane and $A(0, 1)$, $B(1, 1</t>
        </is>
      </c>
      <c r="F63" s="2" t="inlineStr">
        <is>
          <t>yes</t>
        </is>
      </c>
      <c r="G63" s="2" t="inlineStr">
        <is>
          <t>convexity check, diagonal intersection as geometric median</t>
        </is>
      </c>
      <c r="H63" s="2" t="inlineStr">
        <is>
          <t>yes</t>
        </is>
      </c>
      <c r="I63" s="2" t="inlineStr">
        <is>
          <t>geometric median at diagonal intersection of convex quadrilateral</t>
        </is>
      </c>
      <c r="J63" s="2" t="inlineStr">
        <is>
          <t>yes-&gt;yes</t>
        </is>
      </c>
    </row>
    <row r="64">
      <c r="A64" s="2" t="n">
        <v>464</v>
      </c>
      <c r="B64" s="2" t="inlineStr">
        <is>
          <t>q_98639</t>
        </is>
      </c>
      <c r="C64" s="2" t="inlineStr">
        <is>
          <t>Mathematics -&gt; Geometry -&gt; Solid Geometry -&gt; 3D Shapes</t>
        </is>
      </c>
      <c r="D64" s="2" t="n">
        <v>5</v>
      </c>
      <c r="E64" s="2" t="inlineStr">
        <is>
          <t>Points $A$, $B$, $C$, and $T$ are in space such that each of $\overline{TA}$, $\overline{TB}$, and $\overline{TC}$ is pe</t>
        </is>
      </c>
      <c r="F64" s="2" t="inlineStr">
        <is>
          <t>yes</t>
        </is>
      </c>
      <c r="G64" s="2" t="inlineStr">
        <is>
          <t>origin coordinates, intercept plane form, point-plane distance formula</t>
        </is>
      </c>
      <c r="H64" s="2" t="inlineStr">
        <is>
          <t>yes</t>
        </is>
      </c>
      <c r="I64" s="2" t="inlineStr">
        <is>
          <t>origin coordinates, intercept plane form, distance formula</t>
        </is>
      </c>
      <c r="J64" s="2" t="inlineStr">
        <is>
          <t>yes-&gt;yes</t>
        </is>
      </c>
    </row>
    <row r="65">
      <c r="A65" s="2" t="n">
        <v>476</v>
      </c>
      <c r="B65" s="2" t="inlineStr">
        <is>
          <t>q_43973</t>
        </is>
      </c>
      <c r="C65" s="2" t="inlineStr">
        <is>
          <t>Mathematics -&gt; Calculus -&gt; Integral Calculus -&gt; Techniques of Integration -&gt; Multi-variable</t>
        </is>
      </c>
      <c r="D65" s="2" t="n">
        <v>7.5</v>
      </c>
      <c r="E65" s="2" t="inlineStr">
        <is>
          <t>Let $f_1,..., f_n: \mathbb{R}\rightarrow\mathbb{R}$ be Lebesgue-measurable functions and $F:\mathbb{R}^n\rightarrow\math</t>
        </is>
      </c>
      <c r="F65" s="2" t="inlineStr">
        <is>
          <t>yes</t>
        </is>
      </c>
      <c r="G65" s="2" t="inlineStr">
        <is>
          <t>vectorized components, Borel outer function composition argument</t>
        </is>
      </c>
      <c r="H65" s="2" t="inlineStr">
        <is>
          <t>yes</t>
        </is>
      </c>
      <c r="I65" s="2" t="inlineStr">
        <is>
          <t>vector-valued map, continuous implies Borel, preimage chain</t>
        </is>
      </c>
      <c r="J65" s="2" t="inlineStr">
        <is>
          <t>yes-&gt;yes</t>
        </is>
      </c>
    </row>
    <row r="66">
      <c r="A66" s="2" t="n">
        <v>477</v>
      </c>
      <c r="B66" s="2" t="inlineStr">
        <is>
          <t>q_1500</t>
        </is>
      </c>
      <c r="C66" s="2" t="inlineStr">
        <is>
          <t>Mathematics -&gt; Calculus -&gt; Integral Calculus -&gt; Applications of Integrals</t>
        </is>
      </c>
      <c r="D66" s="2" t="n">
        <v>8</v>
      </c>
      <c r="E66" s="2" t="inlineStr">
        <is>
          <t>Calculate the area bounded by the curve \((x^2+y^2)^2=a^2(x^2-y^2)\), where \(a\) is a real constant, using double integ</t>
        </is>
      </c>
      <c r="F66" s="2" t="inlineStr">
        <is>
          <t>yes</t>
        </is>
      </c>
      <c r="G66" s="2" t="inlineStr">
        <is>
          <t>polar transform, symmetry lobes, double integral 0 to r(theta)</t>
        </is>
      </c>
      <c r="H66" s="2" t="inlineStr">
        <is>
          <t>yes</t>
        </is>
      </c>
      <c r="I66" s="2" t="inlineStr">
        <is>
          <t>polar transform, domain cos2theta&gt;=0, symmetric double integral</t>
        </is>
      </c>
      <c r="J66" s="2" t="inlineStr">
        <is>
          <t>yes-&gt;yes</t>
        </is>
      </c>
    </row>
    <row r="67">
      <c r="A67" s="2" t="n">
        <v>485</v>
      </c>
      <c r="B67" s="2" t="inlineStr">
        <is>
          <t>q_33279</t>
        </is>
      </c>
      <c r="C67" s="2" t="inlineStr">
        <is>
          <t>Mathematics -&gt; Algebra -&gt; Linear Algebra -&gt; Matrices</t>
        </is>
      </c>
      <c r="D67" s="2" t="n">
        <v>7.5</v>
      </c>
      <c r="E67" s="2" t="inlineStr">
        <is>
          <t>Solve the matrix equation for $B$ given the following:  $$M^TB^T \Sigma B - 2 \Sigma BMB = 0$$  where $M$ is a $1 \times</t>
        </is>
      </c>
      <c r="F67" s="2" t="inlineStr">
        <is>
          <t>yes</t>
        </is>
      </c>
      <c r="G67" s="2" t="inlineStr">
        <is>
          <t>dimension audit, scalar identification, concluded trivial B=0</t>
        </is>
      </c>
      <c r="H67" s="2" t="inlineStr">
        <is>
          <t>yes</t>
        </is>
      </c>
      <c r="I67" s="2" t="inlineStr">
        <is>
          <t>dimensionality audit, scalar identification, trivial solution check</t>
        </is>
      </c>
      <c r="J67" s="2" t="inlineStr">
        <is>
          <t>yes-&gt;yes</t>
        </is>
      </c>
    </row>
    <row r="68">
      <c r="A68" s="2" t="n">
        <v>490</v>
      </c>
      <c r="B68" s="2" t="inlineStr">
        <is>
          <t>q_9548</t>
        </is>
      </c>
      <c r="C68" s="2" t="inlineStr">
        <is>
          <t>Mathematics -&gt; Calculus -&gt; Other</t>
        </is>
      </c>
      <c r="D68" s="2" t="n">
        <v>7</v>
      </c>
      <c r="E68" s="2" t="inlineStr">
        <is>
          <t>Find the residue of the function \( f(z) = \frac{1}{z(1-\cos(z))} \) at \( z = 0 \).</t>
        </is>
      </c>
      <c r="F68" s="2" t="inlineStr">
        <is>
          <t>yes</t>
        </is>
      </c>
      <c r="G68" s="2" t="inlineStr">
        <is>
          <t>Taylor expansion of denominator, geometric series inversion</t>
        </is>
      </c>
      <c r="H68" s="2" t="inlineStr">
        <is>
          <t>yes</t>
        </is>
      </c>
      <c r="I68" s="2" t="inlineStr">
        <is>
          <t>Taylor expands cosine, factors leading term, geometric series inversion</t>
        </is>
      </c>
      <c r="J68" s="2" t="inlineStr">
        <is>
          <t>yes-&gt;yes</t>
        </is>
      </c>
    </row>
    <row r="69">
      <c r="A69" s="2" t="n">
        <v>512</v>
      </c>
      <c r="B69" s="2" t="inlineStr">
        <is>
          <t>q_12985</t>
        </is>
      </c>
      <c r="C69" s="2" t="inlineStr">
        <is>
          <t>Mathematics -&gt; Algebra -&gt; Linear Algebra -&gt; Matrices</t>
        </is>
      </c>
      <c r="D69" s="2" t="n">
        <v>8</v>
      </c>
      <c r="E69" s="2" t="inlineStr">
        <is>
          <t>Is each diagonal entry of a positive semidefinite doubly stochastic matrix the largest element in its respective row?</t>
        </is>
      </c>
      <c r="F69" s="2" t="inlineStr">
        <is>
          <t>yes</t>
        </is>
      </c>
      <c r="G69" s="2" t="inlineStr">
        <is>
          <t>small-dimension 2x2 uniform matrix test decides answer</t>
        </is>
      </c>
      <c r="H69" s="2" t="inlineStr">
        <is>
          <t>yes</t>
        </is>
      </c>
      <c r="I69" s="2" t="inlineStr">
        <is>
          <t>2x2 small-dimension test with PSD determinant condition</t>
        </is>
      </c>
      <c r="J69" s="2" t="inlineStr">
        <is>
          <t>yes-&gt;yes</t>
        </is>
      </c>
    </row>
    <row r="70">
      <c r="A70" s="2" t="n">
        <v>517</v>
      </c>
      <c r="B70" s="2" t="inlineStr">
        <is>
          <t>q_44805</t>
        </is>
      </c>
      <c r="C70" s="2" t="inlineStr">
        <is>
          <t>Mathematics -&gt; Algebra -&gt; Intermediate Algebra -&gt; Complex Numbers</t>
        </is>
      </c>
      <c r="D70" s="2" t="n">
        <v>5.5</v>
      </c>
      <c r="E70" s="2" t="inlineStr">
        <is>
          <t>Given three complex numbers with unit modulus, $z_1$, $z_2$, and $z_3$, where \( |z_1 - z_2|^2 + |z_1 - z_3|^2 = 4 \), d</t>
        </is>
      </c>
      <c r="F70" s="2" t="inlineStr">
        <is>
          <t>yes</t>
        </is>
      </c>
      <c r="G70" s="2" t="inlineStr">
        <is>
          <t>set z1=1, trig substitution, cosine sum zero</t>
        </is>
      </c>
      <c r="H70" s="2" t="inlineStr">
        <is>
          <t>yes</t>
        </is>
      </c>
      <c r="I70" s="2" t="inlineStr">
        <is>
          <t>set z1=1, cosine sum zero, half-angle magnitude</t>
        </is>
      </c>
      <c r="J70" s="2" t="inlineStr">
        <is>
          <t>yes-&gt;yes</t>
        </is>
      </c>
    </row>
    <row r="71">
      <c r="A71" s="2" t="n">
        <v>528</v>
      </c>
      <c r="B71" s="2" t="inlineStr">
        <is>
          <t>q_48097</t>
        </is>
      </c>
      <c r="C71" s="2" t="inlineStr">
        <is>
          <t>Mathematics -&gt; Algebra -&gt; Intermediate Algebra -&gt; Logarithmic Functions</t>
        </is>
      </c>
      <c r="D71" s="2" t="n">
        <v>5.5</v>
      </c>
      <c r="E71" s="2" t="inlineStr">
        <is>
          <t xml:space="preserve">Determine whether the statement \(a^n = \Omega(\ln(n!))\) is true or false for all positive integers \(n\) and positive </t>
        </is>
      </c>
      <c r="F71" s="2" t="inlineStr">
        <is>
          <t>yes</t>
        </is>
      </c>
      <c r="G71" s="2" t="inlineStr">
        <is>
          <t>Stirling plus growth-limit comparison, skips boundary a cases</t>
        </is>
      </c>
      <c r="H71" s="2" t="inlineStr">
        <is>
          <t>yes</t>
        </is>
      </c>
      <c r="I71" s="2" t="inlineStr">
        <is>
          <t>Stirling approximation plus boundary-case a&lt;=1 counterexample</t>
        </is>
      </c>
      <c r="J71" s="2" t="inlineStr">
        <is>
          <t>yes-&gt;yes</t>
        </is>
      </c>
    </row>
    <row r="72">
      <c r="A72" s="2" t="n">
        <v>540</v>
      </c>
      <c r="B72" s="2" t="inlineStr">
        <is>
          <t>q_58147</t>
        </is>
      </c>
      <c r="C72" s="2" t="inlineStr">
        <is>
          <t>Mathematics -&gt; Precalculus -&gt; Limits</t>
        </is>
      </c>
      <c r="D72" s="2" t="n">
        <v>6</v>
      </c>
      <c r="E72" s="2" t="inlineStr">
        <is>
          <t>Evaluate the limit: $$\lim_{x \to \infty}\ln{\frac{x+\sqrt{x^2+1}}{x+\sqrt{x^2-1}}}\cdot \left(\ln{\frac{x+1}{x-1}}\righ</t>
        </is>
      </c>
      <c r="F72" s="2" t="inlineStr">
        <is>
          <t>yes</t>
        </is>
      </c>
      <c r="G72" s="2" t="inlineStr">
        <is>
          <t>asymptotic equivalents for ln and sqrt, leading-order product</t>
        </is>
      </c>
      <c r="H72" s="2" t="inlineStr">
        <is>
          <t>yes</t>
        </is>
      </c>
      <c r="I72" s="2" t="inlineStr">
        <is>
          <t>sqrt and log linear approximations, leading-order ratio</t>
        </is>
      </c>
      <c r="J72" s="2" t="inlineStr">
        <is>
          <t>yes-&gt;yes</t>
        </is>
      </c>
    </row>
    <row r="73">
      <c r="A73" s="2" t="n">
        <v>543</v>
      </c>
      <c r="B73" s="2" t="inlineStr">
        <is>
          <t>q_598</t>
        </is>
      </c>
      <c r="C73" s="2" t="inlineStr">
        <is>
          <t>Mathematics -&gt; Discrete Mathematics -&gt; Combinatorics</t>
        </is>
      </c>
      <c r="D73" s="2" t="n">
        <v>5.5</v>
      </c>
      <c r="E73" s="2" t="inlineStr">
        <is>
          <t>Find the number of 1's in the binary representation of the 1717th term in the sequence of positive integers whose binary</t>
        </is>
      </c>
      <c r="F73" s="2" t="inlineStr">
        <is>
          <t>yes</t>
        </is>
      </c>
      <c r="G73" s="2" t="inlineStr">
        <is>
          <t>length partition, cumulative counts, prefix mapping</t>
        </is>
      </c>
      <c r="H73" s="2" t="inlineStr">
        <is>
          <t>yes</t>
        </is>
      </c>
      <c r="I73" s="2" t="inlineStr">
        <is>
          <t>partitioned by length, cumulative counts, index-to-prefix mapping</t>
        </is>
      </c>
      <c r="J73" s="2" t="inlineStr">
        <is>
          <t>yes-&gt;yes</t>
        </is>
      </c>
    </row>
    <row r="74">
      <c r="A74" s="2" t="n">
        <v>548</v>
      </c>
      <c r="B74" s="2" t="inlineStr">
        <is>
          <t>q_27617</t>
        </is>
      </c>
      <c r="C74" s="2" t="inlineStr">
        <is>
          <t>Mathematics -&gt; Algebra -&gt; Abstract Algebra -&gt; Group Theory</t>
        </is>
      </c>
      <c r="D74" s="2" t="n">
        <v>8</v>
      </c>
      <c r="E74" s="2" t="inlineStr">
        <is>
          <t>Determine the quotient space of \(\mathbb{C}^n\) under the action of the symmetric group \(S_n\), where the action is de</t>
        </is>
      </c>
      <c r="F74" s="2" t="inlineStr">
        <is>
          <t>yes</t>
        </is>
      </c>
      <c r="G74" s="2" t="inlineStr">
        <is>
          <t>invariant ring via elementary symmetric polynomials, affine space</t>
        </is>
      </c>
      <c r="H74" s="2" t="inlineStr">
        <is>
          <t>yes</t>
        </is>
      </c>
      <c r="I74" s="2" t="inlineStr">
        <is>
          <t>invariant ring via elementary symmetric polynomials, affine space</t>
        </is>
      </c>
      <c r="J74" s="2" t="inlineStr">
        <is>
          <t>yes-&gt;yes</t>
        </is>
      </c>
    </row>
    <row r="75">
      <c r="A75" s="2" t="n">
        <v>551</v>
      </c>
      <c r="B75" s="2" t="inlineStr">
        <is>
          <t>q_58081</t>
        </is>
      </c>
      <c r="C75" s="2" t="inlineStr">
        <is>
          <t>Mathematics -&gt; Number Theory -&gt; Congruences</t>
        </is>
      </c>
      <c r="D75" s="2" t="n">
        <v>6</v>
      </c>
      <c r="E75" s="2" t="inlineStr">
        <is>
          <t>Find the smallest positive integer \( n \) such that the congruence \( x^n \equiv 1 \pmod{101} \) holds for all integers</t>
        </is>
      </c>
      <c r="F75" s="2" t="inlineStr">
        <is>
          <t>yes</t>
        </is>
      </c>
      <c r="G75" s="2" t="inlineStr">
        <is>
          <t>element order computation with LCM-of-orders framing</t>
        </is>
      </c>
      <c r="H75" s="2" t="inlineStr">
        <is>
          <t>yes</t>
        </is>
      </c>
      <c r="I75" s="2" t="inlineStr">
        <is>
          <t>order of element 2 via divisor checks of 100</t>
        </is>
      </c>
      <c r="J75" s="2" t="inlineStr">
        <is>
          <t>yes-&gt;yes</t>
        </is>
      </c>
    </row>
    <row r="76">
      <c r="A76" s="2" t="n">
        <v>561</v>
      </c>
      <c r="B76" s="2" t="inlineStr">
        <is>
          <t>q_93499</t>
        </is>
      </c>
      <c r="C76" s="2" t="inlineStr">
        <is>
          <t>Mathematics -&gt; Geometry -&gt; Plane Geometry -&gt; Angles</t>
        </is>
      </c>
      <c r="D76" s="2" t="n">
        <v>5.5</v>
      </c>
      <c r="E76" s="2" t="inlineStr">
        <is>
          <t>In triangle \( \triangle ABC \), \(\tan A\), \((1+\sqrt{2}) \tan B\), and \(\tan C\) form an arithmetic sequence. Determ</t>
        </is>
      </c>
      <c r="F76" s="2" t="inlineStr">
        <is>
          <t>yes</t>
        </is>
      </c>
      <c r="G76" s="2" t="inlineStr">
        <is>
          <t>tangent identity plus symmetric case A=C derivation</t>
        </is>
      </c>
      <c r="H76" s="2" t="inlineStr">
        <is>
          <t>unclear</t>
        </is>
      </c>
      <c r="I76" s="2" t="inlineStr">
        <is>
          <t>identity attempted; algebra collapses; answer unconnected to derivation</t>
        </is>
      </c>
      <c r="J76" s="2" t="inlineStr">
        <is>
          <t>yes-&gt;unclear</t>
        </is>
      </c>
    </row>
    <row r="77">
      <c r="A77" s="2" t="n">
        <v>566</v>
      </c>
      <c r="B77" s="2" t="inlineStr">
        <is>
          <t>q_70509</t>
        </is>
      </c>
      <c r="C77" s="2" t="inlineStr">
        <is>
          <t>Mathematics -&gt; Algebra -&gt; Intermediate Algebra -&gt; Exponential Functions</t>
        </is>
      </c>
      <c r="D77" s="2" t="n">
        <v>5.5</v>
      </c>
      <c r="E77" s="2" t="inlineStr">
        <is>
          <t>Determine the values of $s$ for which the infinite series $1 - \frac{1}{2^s} + \frac{1}{3^s} - \frac{1}{4^s} + \ldots$ c</t>
        </is>
      </c>
      <c r="F77" s="2" t="inlineStr">
        <is>
          <t>yes</t>
        </is>
      </c>
      <c r="G77" s="2" t="inlineStr">
        <is>
          <t>Leibniz test with Re(s)&gt;0 and p-series thresholds</t>
        </is>
      </c>
      <c r="H77" s="2" t="inlineStr">
        <is>
          <t>yes</t>
        </is>
      </c>
      <c r="I77" s="2" t="inlineStr">
        <is>
          <t>Leibniz alternating test plus p-series absolute check</t>
        </is>
      </c>
      <c r="J77" s="2" t="inlineStr">
        <is>
          <t>yes-&gt;yes</t>
        </is>
      </c>
    </row>
    <row r="78">
      <c r="A78" s="2" t="n">
        <v>571</v>
      </c>
      <c r="B78" s="2" t="inlineStr">
        <is>
          <t>q_56486</t>
        </is>
      </c>
      <c r="C78" s="2" t="inlineStr">
        <is>
          <t>Mathematics -&gt; Algebra -&gt; Linear Algebra -&gt; Matrices</t>
        </is>
      </c>
      <c r="D78" s="2" t="n">
        <v>8</v>
      </c>
      <c r="E78" s="2" t="inlineStr">
        <is>
          <t>Let $A$ be a real $n \times n$ matrix such that $A^3 = A + I$. Prove that $\det A &gt; 0$. \(I\) is the identity matrix.</t>
        </is>
      </c>
      <c r="F78" s="2" t="inlineStr">
        <is>
          <t>yes</t>
        </is>
      </c>
      <c r="G78" s="2" t="inlineStr">
        <is>
          <t>eigenvalue roots, conjugate pairs positive, Descartes sign analysis</t>
        </is>
      </c>
      <c r="H78" s="2" t="inlineStr">
        <is>
          <t>yes</t>
        </is>
      </c>
      <c r="I78" s="2" t="inlineStr">
        <is>
          <t>eigenvalues as polynomial roots, IVT, conjugate-pair positivity</t>
        </is>
      </c>
      <c r="J78" s="2" t="inlineStr">
        <is>
          <t>yes-&gt;yes</t>
        </is>
      </c>
    </row>
    <row r="79">
      <c r="A79" s="2" t="n">
        <v>585</v>
      </c>
      <c r="B79" s="2" t="inlineStr">
        <is>
          <t>q_69458</t>
        </is>
      </c>
      <c r="C79" s="2" t="inlineStr">
        <is>
          <t>Mathematics -&gt; Geometry -&gt; Plane Geometry -&gt; Polygons</t>
        </is>
      </c>
      <c r="D79" s="2" t="n">
        <v>6</v>
      </c>
      <c r="E79" s="2" t="inlineStr">
        <is>
          <t>Determine the packing density of the heptomino P on a square grid.</t>
        </is>
      </c>
      <c r="F79" s="2" t="inlineStr">
        <is>
          <t>yes</t>
        </is>
      </c>
      <c r="G79" s="2" t="inlineStr">
        <is>
          <t>minimal unit cell tileable region, density A/U</t>
        </is>
      </c>
      <c r="H79" s="2" t="inlineStr">
        <is>
          <t>yes</t>
        </is>
      </c>
      <c r="I79" s="2" t="inlineStr">
        <is>
          <t>dimer packing into unit cell, density A/U</t>
        </is>
      </c>
      <c r="J79" s="2" t="inlineStr">
        <is>
          <t>yes-&gt;yes</t>
        </is>
      </c>
    </row>
    <row r="80">
      <c r="A80" s="2" t="n">
        <v>591</v>
      </c>
      <c r="B80" s="2" t="inlineStr">
        <is>
          <t>q_95594</t>
        </is>
      </c>
      <c r="C80" s="2" t="inlineStr">
        <is>
          <t>Mathematics -&gt; Algebra -&gt; Intermediate Algebra -&gt; Other</t>
        </is>
      </c>
      <c r="D80" s="2" t="n">
        <v>4</v>
      </c>
      <c r="E80" s="2" t="inlineStr">
        <is>
          <t>Expanding $(1+0.2)^{1000}$ by the binomial theorem and doing no further manipulation gives \[{1000 \choose 0}(0.2)^0+{10</t>
        </is>
      </c>
      <c r="F80" s="2" t="inlineStr">
        <is>
          <t>yes</t>
        </is>
      </c>
      <c r="G80" s="2" t="inlineStr">
        <is>
          <t>ratio test R_k, solved inequality crossing 1</t>
        </is>
      </c>
      <c r="H80" s="2" t="inlineStr">
        <is>
          <t>yes</t>
        </is>
      </c>
      <c r="I80" s="2" t="inlineStr">
        <is>
          <t>ratio test R_k applied, transition point located</t>
        </is>
      </c>
      <c r="J80" s="2" t="inlineStr">
        <is>
          <t>yes-&gt;yes</t>
        </is>
      </c>
    </row>
    <row r="81">
      <c r="A81" s="2" t="n">
        <v>592</v>
      </c>
      <c r="B81" s="2" t="inlineStr">
        <is>
          <t>q_100183</t>
        </is>
      </c>
      <c r="C81" s="2" t="inlineStr">
        <is>
          <t>Mathematics -&gt; Algebra -&gt; Prealgebra -&gt; Integers</t>
        </is>
      </c>
      <c r="D81" s="2" t="n">
        <v>4</v>
      </c>
      <c r="E81" s="2" t="inlineStr">
        <is>
          <t>What is the least positive integer $n$ such that $80325$ divides $n!$?</t>
        </is>
      </c>
      <c r="F81" s="2" t="inlineStr">
        <is>
          <t>yes</t>
        </is>
      </c>
      <c r="G81" s="2" t="inlineStr">
        <is>
          <t>prime factorization, Legendre formula, maximum of per-prime minimums</t>
        </is>
      </c>
      <c r="H81" s="2" t="inlineStr">
        <is>
          <t>yes</t>
        </is>
      </c>
      <c r="I81" s="2" t="inlineStr">
        <is>
          <t>prime factorization, Legendre's formula, max of per-prime minimums</t>
        </is>
      </c>
      <c r="J81" s="2" t="inlineStr">
        <is>
          <t>yes-&gt;yes</t>
        </is>
      </c>
    </row>
    <row r="82">
      <c r="A82" s="2" t="n">
        <v>603</v>
      </c>
      <c r="B82" s="2" t="inlineStr">
        <is>
          <t>q_19924</t>
        </is>
      </c>
      <c r="C82" s="2" t="inlineStr">
        <is>
          <t>Mathematics -&gt; Applied Mathematics -&gt; Statistics -&gt; Probability -&gt; Other</t>
        </is>
      </c>
      <c r="D82" s="2" t="n">
        <v>5</v>
      </c>
      <c r="E82" s="2" t="inlineStr">
        <is>
          <t>Let $X$ and $Z$ be independent standard normal random variables, i.e., $X, Z \sim N(0,1)$. Calculate the probability $P(</t>
        </is>
      </c>
      <c r="F82" s="2" t="inlineStr">
        <is>
          <t>yes</t>
        </is>
      </c>
      <c r="G82" s="2" t="inlineStr">
        <is>
          <t>bivariate transform U,V with orthant probability formula</t>
        </is>
      </c>
      <c r="H82" s="2" t="inlineStr">
        <is>
          <t>yes</t>
        </is>
      </c>
      <c r="I82" s="2" t="inlineStr">
        <is>
          <t>bivariate transform, correlation, orthant probability formula</t>
        </is>
      </c>
      <c r="J82" s="2" t="inlineStr">
        <is>
          <t>yes-&gt;yes</t>
        </is>
      </c>
    </row>
    <row r="83">
      <c r="A83" s="2" t="n">
        <v>616</v>
      </c>
      <c r="B83" s="2" t="inlineStr">
        <is>
          <t>q_20846</t>
        </is>
      </c>
      <c r="C83" s="2" t="inlineStr">
        <is>
          <t>Mathematics -&gt; Algebra -&gt; Abstract Algebra -&gt; Ring Theory</t>
        </is>
      </c>
      <c r="D83" s="2" t="n">
        <v>7.5</v>
      </c>
      <c r="E83" s="2" t="inlineStr">
        <is>
          <t>Determine the negative integer \(d\equiv 2\pmod{4} \) for which the ring of integers in \(\mathbb{Q}(\sqrt{d})\) is a un</t>
        </is>
      </c>
      <c r="F83" s="2" t="inlineStr">
        <is>
          <t>yes</t>
        </is>
      </c>
      <c r="G83" s="2" t="inlineStr">
        <is>
          <t>Stark-Heegner candidate list filtered via D=4d parity rule</t>
        </is>
      </c>
      <c r="H83" s="2" t="inlineStr">
        <is>
          <t>yes</t>
        </is>
      </c>
      <c r="I83" s="2" t="inlineStr">
        <is>
          <t>Heegner class-number-1 list filtered by mod-4 constraint</t>
        </is>
      </c>
      <c r="J83" s="2" t="inlineStr">
        <is>
          <t>yes-&gt;yes</t>
        </is>
      </c>
    </row>
    <row r="84">
      <c r="A84" s="2" t="n">
        <v>627</v>
      </c>
      <c r="B84" s="2" t="inlineStr">
        <is>
          <t>q_74209</t>
        </is>
      </c>
      <c r="C84" s="2" t="inlineStr">
        <is>
          <t>Mathematics -&gt; Discrete Mathematics -&gt; Logic</t>
        </is>
      </c>
      <c r="D84" s="2" t="n">
        <v>7</v>
      </c>
      <c r="E84" s="2" t="inlineStr">
        <is>
          <t>Consider the space $X$ which is $\\mathbb{R}\\$ endowed with the right topology generated by \\Gamma=\\{(a,\\infty):a\\i</t>
        </is>
      </c>
      <c r="F84" s="2" t="inlineStr">
        <is>
          <t>no</t>
        </is>
      </c>
      <c r="G84" s="2" t="inlineStr">
        <is>
          <t>contradicts card's compactness and coarseness characterizations</t>
        </is>
      </c>
      <c r="H84" s="2" t="inlineStr">
        <is>
          <t>yes</t>
        </is>
      </c>
      <c r="I84" s="2" t="inlineStr">
        <is>
          <t>card's per-property arguments including -n escaping sequence</t>
        </is>
      </c>
      <c r="J84" s="2" t="inlineStr">
        <is>
          <t>no-&gt;yes</t>
        </is>
      </c>
    </row>
    <row r="85">
      <c r="A85" s="2" t="n">
        <v>628</v>
      </c>
      <c r="B85" s="2" t="inlineStr">
        <is>
          <t>q_84813</t>
        </is>
      </c>
      <c r="C85" s="2" t="inlineStr">
        <is>
          <t>Mathematics -&gt; Algebra -&gt; Linear Algebra -&gt; Matrices</t>
        </is>
      </c>
      <c r="D85" s="2" t="n">
        <v>6.5</v>
      </c>
      <c r="E85" s="2" t="inlineStr">
        <is>
          <t>Let $S$ be a real symmetric $n \times n$ matrix. Determine whether $S^3 = I_n$ necessarily implies that $S = I_n$. Provi</t>
        </is>
      </c>
      <c r="F85" s="2" t="inlineStr">
        <is>
          <t>yes</t>
        </is>
      </c>
      <c r="G85" s="2" t="inlineStr">
        <is>
          <t>spectral theorem, real cube root unique, diagonalizable implies I</t>
        </is>
      </c>
      <c r="H85" s="2" t="inlineStr">
        <is>
          <t>yes</t>
        </is>
      </c>
      <c r="I85" s="2" t="inlineStr">
        <is>
          <t>spectral theorem, eigenvalue equation, real cube root restriction</t>
        </is>
      </c>
      <c r="J85" s="2" t="inlineStr">
        <is>
          <t>yes-&gt;yes</t>
        </is>
      </c>
    </row>
    <row r="86">
      <c r="A86" s="2" t="n">
        <v>633</v>
      </c>
      <c r="B86" s="2" t="inlineStr">
        <is>
          <t>q_55171</t>
        </is>
      </c>
      <c r="C86" s="2" t="inlineStr">
        <is>
          <t>Mathematics -&gt; Number Theory -&gt; Prime Numbers</t>
        </is>
      </c>
      <c r="D86" s="2" t="n">
        <v>7</v>
      </c>
      <c r="E86" s="2" t="inlineStr">
        <is>
          <t>Find all positive integer pairs $(m, n)$ such that $2^m - 5 = 11^n$.</t>
        </is>
      </c>
      <c r="F86" s="2" t="inlineStr">
        <is>
          <t>yes</t>
        </is>
      </c>
      <c r="G86" s="2" t="inlineStr">
        <is>
          <t>modulo sieve (3,4) parity constraints, growth argument</t>
        </is>
      </c>
      <c r="H86" s="2" t="inlineStr">
        <is>
          <t>yes</t>
        </is>
      </c>
      <c r="I86" s="2" t="inlineStr">
        <is>
          <t>modulo sieve (8,4), small cases, growth argument</t>
        </is>
      </c>
      <c r="J86" s="2" t="inlineStr">
        <is>
          <t>yes-&gt;yes</t>
        </is>
      </c>
    </row>
    <row r="87">
      <c r="A87" s="2" t="n">
        <v>637</v>
      </c>
      <c r="B87" s="2" t="inlineStr">
        <is>
          <t>q_2823</t>
        </is>
      </c>
      <c r="C87" s="2" t="inlineStr">
        <is>
          <t>Mathematics -&gt; Applied Mathematics -&gt; Statistics -&gt; Probability -&gt; Counting Methods -&gt; Combinations</t>
        </is>
      </c>
      <c r="D87" s="2" t="n">
        <v>4.5</v>
      </c>
      <c r="E87" s="2" t="inlineStr">
        <is>
          <t>Twelve politicians are seated at a round table. A committee of five is to be chosen such that no two committee members a</t>
        </is>
      </c>
      <c r="F87" s="2" t="inlineStr">
        <is>
          <t>yes</t>
        </is>
      </c>
      <c r="G87" s="2" t="inlineStr">
        <is>
          <t>fix-and-reduce two-case split on fixed element</t>
        </is>
      </c>
      <c r="H87" s="2" t="inlineStr">
        <is>
          <t>yes</t>
        </is>
      </c>
      <c r="I87" s="2" t="inlineStr">
        <is>
          <t>applies Kaplansky circular formula n/(n-k) C(n-k,k)</t>
        </is>
      </c>
      <c r="J87" s="2" t="inlineStr">
        <is>
          <t>yes-&gt;yes</t>
        </is>
      </c>
    </row>
    <row r="88">
      <c r="A88" s="2" t="n">
        <v>647</v>
      </c>
      <c r="B88" s="2" t="inlineStr">
        <is>
          <t>q_84709</t>
        </is>
      </c>
      <c r="C88" s="2" t="inlineStr">
        <is>
          <t>Mathematics -&gt; Algebra -&gt; Abstract Algebra -&gt; Ring Theory</t>
        </is>
      </c>
      <c r="D88" s="2" t="n">
        <v>5.5</v>
      </c>
      <c r="E88" s="2" t="inlineStr">
        <is>
          <t>Find the kernel of the homomorphism \( \phi: \mathbb{R}[X] \rightarrow \mathbb{C} \) defined by \( \phi(X) = 1 + i \).</t>
        </is>
      </c>
      <c r="F88" s="2" t="inlineStr">
        <is>
          <t>yes</t>
        </is>
      </c>
      <c r="G88" s="2" t="inlineStr">
        <is>
          <t>kernel as principal ideal of minimal polynomial, though botched</t>
        </is>
      </c>
      <c r="H88" s="2" t="inlineStr">
        <is>
          <t>yes</t>
        </is>
      </c>
      <c r="I88" s="2" t="inlineStr">
        <is>
          <t>minimal polynomial via conjugate roots, principal ideal kernel</t>
        </is>
      </c>
      <c r="J88" s="2" t="inlineStr">
        <is>
          <t>yes-&gt;yes</t>
        </is>
      </c>
    </row>
    <row r="89">
      <c r="A89" s="2" t="n">
        <v>653</v>
      </c>
      <c r="B89" s="2" t="inlineStr">
        <is>
          <t>q_79386</t>
        </is>
      </c>
      <c r="C89" s="2" t="inlineStr">
        <is>
          <t>Mathematics -&gt; Algebra -&gt; Algebra -&gt; Equations and Inequalities</t>
        </is>
      </c>
      <c r="D89" s="2" t="n">
        <v>6.5</v>
      </c>
      <c r="E89" s="2" t="inlineStr">
        <is>
          <t>Determine the maximum value of \( A \) such that for all \( x \) and \( y \) satisfying \( xy = 1 \), the inequality \((</t>
        </is>
      </c>
      <c r="F89" s="2" t="inlineStr">
        <is>
          <t>yes</t>
        </is>
      </c>
      <c r="G89" s="2" t="inlineStr">
        <is>
          <t>s,p substitution, ratio minimized via division and AM-GM</t>
        </is>
      </c>
      <c r="H89" s="2" t="inlineStr">
        <is>
          <t>yes</t>
        </is>
      </c>
      <c r="I89" s="2" t="inlineStr">
        <is>
          <t>s,p substitution, polynomial division, AM-GM minimum of ratio</t>
        </is>
      </c>
      <c r="J89" s="2" t="inlineStr">
        <is>
          <t>yes-&gt;yes</t>
        </is>
      </c>
    </row>
    <row r="90">
      <c r="A90" s="2" t="n">
        <v>663</v>
      </c>
      <c r="B90" s="2" t="inlineStr">
        <is>
          <t>q_93934</t>
        </is>
      </c>
      <c r="C90" s="2" t="inlineStr">
        <is>
          <t>Mathematics -&gt; Algebra -&gt; Algebra -&gt; Polynomial Operations</t>
        </is>
      </c>
      <c r="D90" s="2" t="n">
        <v>7.5</v>
      </c>
      <c r="E90" s="2" t="inlineStr">
        <is>
          <t xml:space="preserve">Determine whether Kolya can always win the game, regardless of the initial integer values of the coefficients \(a\) and </t>
        </is>
      </c>
      <c r="F90" s="2" t="inlineStr">
        <is>
          <t>yes</t>
        </is>
      </c>
      <c r="G90" s="2" t="inlineStr">
        <is>
          <t>discriminant perfect-square target, b=0 anchor, convergence claim</t>
        </is>
      </c>
      <c r="H90" s="2" t="inlineStr">
        <is>
          <t>yes</t>
        </is>
      </c>
      <c r="I90" s="2" t="inlineStr">
        <is>
          <t>discriminant perfect-square target, a=0 anchor, convergence argument</t>
        </is>
      </c>
      <c r="J90" s="2" t="inlineStr">
        <is>
          <t>yes-&gt;yes</t>
        </is>
      </c>
    </row>
    <row r="91">
      <c r="A91" s="2" t="n">
        <v>671</v>
      </c>
      <c r="B91" s="2" t="inlineStr">
        <is>
          <t>q_60906</t>
        </is>
      </c>
      <c r="C91" s="2" t="inlineStr">
        <is>
          <t>Mathematics -&gt; Applied Mathematics -&gt; Statistics -&gt; Mathematical Statistics</t>
        </is>
      </c>
      <c r="D91" s="2" t="n">
        <v>5.5</v>
      </c>
      <c r="E91" s="2" t="inlineStr">
        <is>
          <t>Calculate the variance of the random variable $X$, which represents the number of different digits that appear in two ra</t>
        </is>
      </c>
      <c r="F91" s="2" t="inlineStr">
        <is>
          <t>yes</t>
        </is>
      </c>
      <c r="G91" s="2" t="inlineStr">
        <is>
          <t>variance transferred to intersection, hypergeometric variance formula</t>
        </is>
      </c>
      <c r="H91" s="2" t="inlineStr">
        <is>
          <t>yes</t>
        </is>
      </c>
      <c r="I91" s="2" t="inlineStr">
        <is>
          <t>applied closed-form hypergeometric variance formula to intersection</t>
        </is>
      </c>
      <c r="J91" s="2" t="inlineStr">
        <is>
          <t>yes-&gt;yes</t>
        </is>
      </c>
    </row>
    <row r="92">
      <c r="A92" s="2" t="n">
        <v>674</v>
      </c>
      <c r="B92" s="2" t="inlineStr">
        <is>
          <t>q_20981</t>
        </is>
      </c>
      <c r="C92" s="2" t="inlineStr">
        <is>
          <t>Mathematics -&gt; Algebra -&gt; Algebra -&gt; Equations and Inequalities</t>
        </is>
      </c>
      <c r="D92" s="2" t="n">
        <v>6</v>
      </c>
      <c r="E92" s="2" t="inlineStr">
        <is>
          <t>Find all ordered pairs \((x, y)\) of positive integers such that \(x^2 + 4y^2 = (2xy - 7)^2\).</t>
        </is>
      </c>
      <c r="F92" s="2" t="inlineStr">
        <is>
          <t>yes</t>
        </is>
      </c>
      <c r="G92" s="2" t="inlineStr">
        <is>
          <t>quadratic-in-y discriminant perfect-square testing</t>
        </is>
      </c>
      <c r="H92" s="2" t="inlineStr">
        <is>
          <t>yes</t>
        </is>
      </c>
      <c r="I92" s="2" t="inlineStr">
        <is>
          <t>quadratic in x, perfect-square discriminant, tested y</t>
        </is>
      </c>
      <c r="J92" s="2" t="inlineStr">
        <is>
          <t>yes-&gt;yes</t>
        </is>
      </c>
    </row>
    <row r="93">
      <c r="A93" s="2" t="n">
        <v>678</v>
      </c>
      <c r="B93" s="2" t="inlineStr">
        <is>
          <t>q_35624</t>
        </is>
      </c>
      <c r="C93" s="2" t="inlineStr">
        <is>
          <t>Mathematics -&gt; Calculus -&gt; Integral Calculus -&gt; Techniques of Integration -&gt; Multi-variable</t>
        </is>
      </c>
      <c r="D93" s="2" t="n">
        <v>5.5</v>
      </c>
      <c r="E93" s="2" t="inlineStr">
        <is>
          <t>Evaluate the line integral \(\int_{C} y \,dx + x^2 \, dy\) where \(C\) is the parabola defined by \(y=4x-x^2\) from \((4</t>
        </is>
      </c>
      <c r="F93" s="2" t="inlineStr">
        <is>
          <t>yes</t>
        </is>
      </c>
      <c r="G93" s="2" t="inlineStr">
        <is>
          <t>parameterized t=x, substituted dy, direct integration, limits reversed</t>
        </is>
      </c>
      <c r="H93" s="2" t="inlineStr">
        <is>
          <t>yes</t>
        </is>
      </c>
      <c r="I93" s="2" t="inlineStr">
        <is>
          <t>parameter t=x, dy=f'dx, limits in travel order</t>
        </is>
      </c>
      <c r="J93" s="2" t="inlineStr">
        <is>
          <t>yes-&gt;yes</t>
        </is>
      </c>
    </row>
    <row r="94">
      <c r="A94" s="2" t="n">
        <v>684</v>
      </c>
      <c r="B94" s="2" t="inlineStr">
        <is>
          <t>q_49343</t>
        </is>
      </c>
      <c r="C94" s="2" t="inlineStr">
        <is>
          <t>Mathematics -&gt; Algebra -&gt; Linear Algebra -&gt; Other</t>
        </is>
      </c>
      <c r="D94" s="2" t="n">
        <v>7.5</v>
      </c>
      <c r="E94" s="2" t="inlineStr">
        <is>
          <t xml:space="preserve">Find the spectrum \( \sigma_p(P) \) of an orthoprojection \( P: H \rightarrow H \) where \( P \neq 0 \) and \( P \neq I </t>
        </is>
      </c>
      <c r="F94" s="2" t="inlineStr">
        <is>
          <t>yes</t>
        </is>
      </c>
      <c r="G94" s="2" t="inlineStr">
        <is>
          <t>roots of z^2-z, used P!=0, P!=I constraints</t>
        </is>
      </c>
      <c r="H94" s="2" t="inlineStr">
        <is>
          <t>yes</t>
        </is>
      </c>
      <c r="I94" s="2" t="inlineStr">
        <is>
          <t>idempotent eigenvalue roots 0,1 with nontriviality constraints</t>
        </is>
      </c>
      <c r="J94" s="2" t="inlineStr">
        <is>
          <t>yes-&gt;yes</t>
        </is>
      </c>
    </row>
    <row r="95">
      <c r="A95" s="2" t="n">
        <v>694</v>
      </c>
      <c r="B95" s="2" t="inlineStr">
        <is>
          <t>q_102710</t>
        </is>
      </c>
      <c r="C95" s="2" t="inlineStr">
        <is>
          <t>Mathematics -&gt; Applied Mathematics -&gt; Statistics -&gt; Probability -&gt; Other</t>
        </is>
      </c>
      <c r="D95" s="2" t="n">
        <v>4</v>
      </c>
      <c r="E95" s="2" t="inlineStr">
        <is>
          <t>Two cards are chosen at random from a standard 52-card deck.  What is the probability that the first card is a heart and</t>
        </is>
      </c>
      <c r="F95" s="2" t="inlineStr">
        <is>
          <t>yes</t>
        </is>
      </c>
      <c r="G95" s="2" t="inlineStr">
        <is>
          <t>partitioned first draw by ten-of-hearts case</t>
        </is>
      </c>
      <c r="H95" s="2" t="inlineStr">
        <is>
          <t>yes</t>
        </is>
      </c>
      <c r="I95" s="2" t="inlineStr">
        <is>
          <t>partitioned first draw by ten-of-hearts overlap</t>
        </is>
      </c>
      <c r="J95" s="2" t="inlineStr">
        <is>
          <t>yes-&gt;yes</t>
        </is>
      </c>
    </row>
    <row r="96">
      <c r="A96" s="2" t="n">
        <v>695</v>
      </c>
      <c r="B96" s="2" t="inlineStr">
        <is>
          <t>q_23622</t>
        </is>
      </c>
      <c r="C96" s="2" t="inlineStr">
        <is>
          <t>Mathematics -&gt; Applied Mathematics -&gt; Statistics -&gt; Probability -&gt; Other</t>
        </is>
      </c>
      <c r="D96" s="2" t="n">
        <v>4</v>
      </c>
      <c r="E96" s="2" t="inlineStr">
        <is>
          <t>A car insurance company has 2,500 policyholders. The expected claim paid to a policyholder during a year is $1,000$ with</t>
        </is>
      </c>
      <c r="F96" s="2" t="inlineStr">
        <is>
          <t>yes</t>
        </is>
      </c>
      <c r="G96" s="2" t="inlineStr">
        <is>
          <t>CLT approximation, premium mean plus 3.09 risk loading</t>
        </is>
      </c>
      <c r="H96" s="2" t="inlineStr">
        <is>
          <t>yes</t>
        </is>
      </c>
      <c r="I96" s="2" t="inlineStr">
        <is>
          <t>CLT premium mu plus z sigma over sqrt n</t>
        </is>
      </c>
      <c r="J96" s="2" t="inlineStr">
        <is>
          <t>yes-&gt;yes</t>
        </is>
      </c>
    </row>
    <row r="97">
      <c r="A97" s="2" t="n">
        <v>712</v>
      </c>
      <c r="B97" s="2" t="inlineStr">
        <is>
          <t>q_95037</t>
        </is>
      </c>
      <c r="C97" s="2" t="inlineStr">
        <is>
          <t>Mathematics -&gt; Algebra -&gt; Algebra -&gt; Polynomial Operations</t>
        </is>
      </c>
      <c r="D97" s="2" t="n">
        <v>4</v>
      </c>
      <c r="E97" s="2" t="inlineStr">
        <is>
          <t xml:space="preserve">Find constants $A,$ $B,$ $C,$ and $D$ so that \[\frac{x^3 + 3x^2 - 12x + 36}{x^4 - 16} = \frac{A}{x - 2} + \frac{B}{x + </t>
        </is>
      </c>
      <c r="F97" s="2" t="inlineStr">
        <is>
          <t>yes</t>
        </is>
      </c>
      <c r="G97" s="2" t="inlineStr">
        <is>
          <t>coefficient matching with paired equation elimination</t>
        </is>
      </c>
      <c r="H97" s="2" t="inlineStr">
        <is>
          <t>yes</t>
        </is>
      </c>
      <c r="I97" s="2" t="inlineStr">
        <is>
          <t>proper check, cleared denominators, coefficient matching, symmetry pairs</t>
        </is>
      </c>
      <c r="J97" s="2" t="inlineStr">
        <is>
          <t>yes-&gt;yes</t>
        </is>
      </c>
    </row>
    <row r="98">
      <c r="A98" s="2" t="n">
        <v>715</v>
      </c>
      <c r="B98" s="2" t="inlineStr">
        <is>
          <t>q_82377</t>
        </is>
      </c>
      <c r="C98" s="2" t="inlineStr">
        <is>
          <t>Mathematics -&gt; Applied Mathematics -&gt; Statistics -&gt; Probability -&gt; Other</t>
        </is>
      </c>
      <c r="D98" s="2" t="n">
        <v>5</v>
      </c>
      <c r="E98" s="2" t="inlineStr">
        <is>
          <t>Calculate the covariance of the random variables $X$ and $Y$ given their joint density function: $$ f_{X,Y}(x,y) = \begi</t>
        </is>
      </c>
      <c r="F98" s="2" t="inlineStr">
        <is>
          <t>yes</t>
        </is>
      </c>
      <c r="G98" s="2" t="inlineStr">
        <is>
          <t>verified normalization, iterated integrals for moments, covariance formula</t>
        </is>
      </c>
      <c r="H98" s="2" t="inlineStr">
        <is>
          <t>yes</t>
        </is>
      </c>
      <c r="I98" s="2" t="inlineStr">
        <is>
          <t>normalization check, symmetry E[X]=E[Y], computed E[XY]</t>
        </is>
      </c>
      <c r="J98" s="2" t="inlineStr">
        <is>
          <t>yes-&gt;yes</t>
        </is>
      </c>
    </row>
    <row r="99">
      <c r="A99" s="2" t="n">
        <v>768</v>
      </c>
      <c r="B99" s="2" t="inlineStr">
        <is>
          <t>q_848</t>
        </is>
      </c>
      <c r="C99" s="2" t="inlineStr">
        <is>
          <t>Mathematics -&gt; Number Theory -&gt; Congruences</t>
        </is>
      </c>
      <c r="D99" s="2" t="n">
        <v>5</v>
      </c>
      <c r="E99" s="2" t="inlineStr">
        <is>
          <t>Determine the order of \( \bar{2} \) in the multiplicative group \( \mathbb{Z}_{289}^\times \).</t>
        </is>
      </c>
      <c r="F99" s="2" t="inlineStr">
        <is>
          <t>yes</t>
        </is>
      </c>
      <c r="G99" s="2" t="inlineStr">
        <is>
          <t>order mod 17, candidates d*17^j, squaring verification</t>
        </is>
      </c>
      <c r="H99" s="2" t="inlineStr">
        <is>
          <t>yes</t>
        </is>
      </c>
      <c r="I99" s="2" t="inlineStr">
        <is>
          <t>order mod 17 first, lifted exponent to d*p</t>
        </is>
      </c>
      <c r="J99" s="2" t="inlineStr">
        <is>
          <t>yes-&gt;yes</t>
        </is>
      </c>
    </row>
    <row r="100">
      <c r="A100" s="2" t="n">
        <v>773</v>
      </c>
      <c r="B100" s="2" t="inlineStr">
        <is>
          <t>q_7248</t>
        </is>
      </c>
      <c r="C100" s="2" t="inlineStr">
        <is>
          <t>Mathematics -&gt; Differential Equations -&gt; Ordinary Differential Equations (ODEs)</t>
        </is>
      </c>
      <c r="D100" s="2" t="n">
        <v>5.5</v>
      </c>
      <c r="E100" s="2" t="inlineStr">
        <is>
          <t>Given the differential equation \((2xy - y^2 - y) \, dx = (2xy + x - x^2) \, dy\) with the initial condition \(y(1) = 1\</t>
        </is>
      </c>
      <c r="F100" s="2" t="inlineStr">
        <is>
          <t>unclear</t>
        </is>
      </c>
      <c r="G100" s="2" t="inlineStr">
        <is>
          <t>ran exactness and integrating-factor checks, then ad-hoc integration</t>
        </is>
      </c>
      <c r="H100" s="2" t="inlineStr">
        <is>
          <t>yes</t>
        </is>
      </c>
      <c r="I100" s="2" t="inlineStr">
        <is>
          <t>exactness test, potential function with h(y), implicit substitution</t>
        </is>
      </c>
      <c r="J100" s="2" t="inlineStr">
        <is>
          <t>unclear-&gt;yes</t>
        </is>
      </c>
    </row>
    <row r="101">
      <c r="A101" s="2" t="n">
        <v>779</v>
      </c>
      <c r="B101" s="2" t="inlineStr">
        <is>
          <t>q_93404</t>
        </is>
      </c>
      <c r="C101" s="2" t="inlineStr">
        <is>
          <t>Mathematics -&gt; Algebra -&gt; Intermediate Algebra -&gt; Other</t>
        </is>
      </c>
      <c r="D101" s="2" t="n">
        <v>5.5</v>
      </c>
      <c r="E101" s="2" t="inlineStr">
        <is>
          <t xml:space="preserve">Given the function \( f(n) \) defined on the set of natural numbers \(\mathbf{N}\), and satisfies:  \[ \begin{array}{l} </t>
        </is>
      </c>
      <c r="F101" s="2" t="inlineStr">
        <is>
          <t>unclear</t>
        </is>
      </c>
      <c r="G101" s="2" t="inlineStr">
        <is>
          <t>starts base-3 digit strategy, analysis garbled, answer unjustified</t>
        </is>
      </c>
      <c r="H101" s="2" t="inlineStr">
        <is>
          <t>yes</t>
        </is>
      </c>
      <c r="I101" s="2" t="inlineStr">
        <is>
          <t>base-3 digit analysis, repunit candidate 1111111 base 3</t>
        </is>
      </c>
      <c r="J101" s="2" t="inlineStr">
        <is>
          <t>unclear-&gt;yes</t>
        </is>
      </c>
    </row>
    <row r="102">
      <c r="A102" s="2" t="n">
        <v>783</v>
      </c>
      <c r="B102" s="2" t="inlineStr">
        <is>
          <t>q_91977</t>
        </is>
      </c>
      <c r="C102" s="2" t="inlineStr">
        <is>
          <t>Mathematics -&gt; Algebra -&gt; Algebra -&gt; Equations and Inequalities</t>
        </is>
      </c>
      <c r="D102" s="2" t="n">
        <v>5.5</v>
      </c>
      <c r="E102" s="2" t="inlineStr">
        <is>
          <t>Three positive real numbers \( x \), \( y \), and \( z \) satisfy the following system of equations: \[ \begin{array}{l}</t>
        </is>
      </c>
      <c r="F102" s="2" t="inlineStr">
        <is>
          <t>yes</t>
        </is>
      </c>
      <c r="G102" s="2" t="inlineStr">
        <is>
          <t>variable shift, pairwise subtraction, factoring, integer testing</t>
        </is>
      </c>
      <c r="H102" s="2" t="inlineStr">
        <is>
          <t>yes</t>
        </is>
      </c>
      <c r="I102" s="2" t="inlineStr">
        <is>
          <t>variable shift, pairwise subtraction, factored differences, integer relations</t>
        </is>
      </c>
      <c r="J102" s="2" t="inlineStr">
        <is>
          <t>yes-&gt;yes</t>
        </is>
      </c>
    </row>
    <row r="103">
      <c r="A103" s="2" t="n">
        <v>785</v>
      </c>
      <c r="B103" s="2" t="inlineStr">
        <is>
          <t>q_9106</t>
        </is>
      </c>
      <c r="C103" s="2" t="inlineStr">
        <is>
          <t>Mathematics -&gt; Calculus -&gt; Differential Calculus -&gt; Applications of Derivatives</t>
        </is>
      </c>
      <c r="D103" s="2" t="n">
        <v>8</v>
      </c>
      <c r="E103" s="2" t="inlineStr">
        <is>
          <t>Evaluate the limit: \[ \lim_{n \to \infty} \left( \frac{n^{1/3}}{2} \arccos \left(\frac{1}{\sqrt{1+\frac{4}{(k(n)-1)^2}}</t>
        </is>
      </c>
      <c r="F103" s="2" t="inlineStr">
        <is>
          <t>yes</t>
        </is>
      </c>
      <c r="G103" s="2" t="inlineStr">
        <is>
          <t>same substitution, binomial approximations, arccos small-angle formula</t>
        </is>
      </c>
      <c r="H103" s="2" t="inlineStr">
        <is>
          <t>yes</t>
        </is>
      </c>
      <c r="I103" s="2" t="inlineStr">
        <is>
          <t>asymptotic substitution, binomial expansions, arccos small-angle approximation</t>
        </is>
      </c>
      <c r="J103" s="2" t="inlineStr">
        <is>
          <t>yes-&gt;yes</t>
        </is>
      </c>
    </row>
    <row r="104">
      <c r="A104" s="2" t="n">
        <v>796</v>
      </c>
      <c r="B104" s="2" t="inlineStr">
        <is>
          <t>q_100897</t>
        </is>
      </c>
      <c r="C104" s="2" t="inlineStr">
        <is>
          <t>Mathematics -&gt; Precalculus -&gt; Trigonometric Functions</t>
        </is>
      </c>
      <c r="D104" s="2" t="n">
        <v>5</v>
      </c>
      <c r="E104" s="2" t="inlineStr">
        <is>
          <t>Find the sum of all positive real solutions  $x$ to the equation \[2\cos2x \left(\cos2x - \cos{\left( \frac{2014\pi^2}{x</t>
        </is>
      </c>
      <c r="F104" s="2" t="inlineStr">
        <is>
          <t>yes</t>
        </is>
      </c>
      <c r="G104" s="2" t="inlineStr">
        <is>
          <t>reduced to product=1, plus-minus-1 cases, divisor Diophantine, parity</t>
        </is>
      </c>
      <c r="H104" s="2" t="inlineStr">
        <is>
          <t>yes</t>
        </is>
      </c>
      <c r="I104" s="2" t="inlineStr">
        <is>
          <t>plus-minus-one case decomposition, divisor equation, parity discard</t>
        </is>
      </c>
      <c r="J104" s="2" t="inlineStr">
        <is>
          <t>yes-&gt;yes</t>
        </is>
      </c>
    </row>
    <row r="105">
      <c r="A105" s="2" t="n">
        <v>812</v>
      </c>
      <c r="B105" s="2" t="inlineStr">
        <is>
          <t>q_38012</t>
        </is>
      </c>
      <c r="C105" s="2" t="inlineStr">
        <is>
          <t>Mathematics -&gt; Algebra -&gt; Abstract Algebra -&gt; Ring Theory</t>
        </is>
      </c>
      <c r="D105" s="2" t="n">
        <v>8.5</v>
      </c>
      <c r="E105" s="2" t="inlineStr">
        <is>
          <t>Determine whether there exists a noncommutative ring of finite order that has a proper subring which is a division ring.</t>
        </is>
      </c>
      <c r="F105" s="2" t="inlineStr">
        <is>
          <t>yes</t>
        </is>
      </c>
      <c r="G105" s="2" t="inlineStr">
        <is>
          <t>constructed M2(F2) with scalar-matrix subring</t>
        </is>
      </c>
      <c r="H105" s="2" t="inlineStr">
        <is>
          <t>yes</t>
        </is>
      </c>
      <c r="I105" s="2" t="inlineStr">
        <is>
          <t>constructed M2(F2) with scalar-matrix subring, dimension check</t>
        </is>
      </c>
      <c r="J105" s="2" t="inlineStr">
        <is>
          <t>yes-&gt;yes</t>
        </is>
      </c>
    </row>
    <row r="106">
      <c r="A106" s="2" t="n">
        <v>816</v>
      </c>
      <c r="B106" s="2" t="inlineStr">
        <is>
          <t>q_61105</t>
        </is>
      </c>
      <c r="C106" s="2" t="inlineStr">
        <is>
          <t>Mathematics -&gt; Algebra -&gt; Algebra -&gt; Polynomial Operations</t>
        </is>
      </c>
      <c r="D106" s="2" t="n">
        <v>5</v>
      </c>
      <c r="E106" s="2" t="inlineStr">
        <is>
          <t>Find a cubic polynomial \( g(x) \) such that \( g(x) - 2 \) is divisible by \( (x+1)^2 \) and \( g(x) \) is divisible by</t>
        </is>
      </c>
      <c r="F106" s="2" t="inlineStr">
        <is>
          <t>yes</t>
        </is>
      </c>
      <c r="G106" s="2" t="inlineStr">
        <is>
          <t>zeroed low coefficients, imposed g(-1)=2, g'(-1)=0</t>
        </is>
      </c>
      <c r="H106" s="2" t="inlineStr">
        <is>
          <t>yes</t>
        </is>
      </c>
      <c r="I106" s="2" t="inlineStr">
        <is>
          <t>reduced form ax^3+bx^2, conditions g(-1)=2, g'(-1)=0</t>
        </is>
      </c>
      <c r="J106" s="2" t="inlineStr">
        <is>
          <t>yes-&gt;yes</t>
        </is>
      </c>
    </row>
    <row r="107">
      <c r="A107" s="2" t="n">
        <v>820</v>
      </c>
      <c r="B107" s="2" t="inlineStr">
        <is>
          <t>q_100683</t>
        </is>
      </c>
      <c r="C107" s="2" t="inlineStr">
        <is>
          <t>Mathematics -&gt; Algebra -&gt; Intermediate Algebra -&gt; Other</t>
        </is>
      </c>
      <c r="D107" s="2" t="n">
        <v>4</v>
      </c>
      <c r="E107" s="2" t="inlineStr">
        <is>
          <t>What fraction of the form $\frac{A}{x + 3}$ can be added to $\frac{6x}{x^2 + 2x - 3}$ so that the result reduces to a fr</t>
        </is>
      </c>
      <c r="F107" s="2" t="inlineStr">
        <is>
          <t>unclear</t>
        </is>
      </c>
      <c r="G107" s="2" t="inlineStr">
        <is>
          <t>starts cancellation setup but wrong factor, garbled resolution</t>
        </is>
      </c>
      <c r="H107" s="2" t="inlineStr">
        <is>
          <t>yes</t>
        </is>
      </c>
      <c r="I107" s="2" t="inlineStr">
        <is>
          <t>vanishing factor, auxiliary B, coefficient system solved</t>
        </is>
      </c>
      <c r="J107" s="2" t="inlineStr">
        <is>
          <t>unclear-&gt;yes</t>
        </is>
      </c>
    </row>
    <row r="108">
      <c r="A108" s="2" t="n">
        <v>824</v>
      </c>
      <c r="B108" s="2" t="inlineStr">
        <is>
          <t>q_45809</t>
        </is>
      </c>
      <c r="C108" s="2" t="inlineStr">
        <is>
          <t>Mathematics -&gt; Calculus -&gt; Integral Calculus -&gt; Techniques of Integration -&gt; Single-variable</t>
        </is>
      </c>
      <c r="D108" s="2" t="n">
        <v>6.5</v>
      </c>
      <c r="E108" s="2" t="inlineStr">
        <is>
          <t>Evaluate the limit: $$\lim_{n \to \infty} \frac{\frac{\log (n+2)}{(n+2)} + \frac{\log (n+3)}{(n+3)} + \cdots + \frac{\lo</t>
        </is>
      </c>
      <c r="F108" s="2" t="inlineStr">
        <is>
          <t>yes</t>
        </is>
      </c>
      <c r="G108" s="2" t="inlineStr">
        <is>
          <t>integral approximation of sum, log-squared expansion</t>
        </is>
      </c>
      <c r="H108" s="2" t="inlineStr">
        <is>
          <t>yes</t>
        </is>
      </c>
      <c r="I108" s="2" t="inlineStr">
        <is>
          <t>integral approximation plus log-square expansion cancellation</t>
        </is>
      </c>
      <c r="J108" s="2" t="inlineStr">
        <is>
          <t>yes-&gt;yes</t>
        </is>
      </c>
    </row>
    <row r="109">
      <c r="A109" s="2" t="n">
        <v>825</v>
      </c>
      <c r="B109" s="2" t="inlineStr">
        <is>
          <t>q_68489</t>
        </is>
      </c>
      <c r="C109" s="2" t="inlineStr">
        <is>
          <t>Mathematics -&gt; Applied Mathematics -&gt; Statistics -&gt; Probability -&gt; Other</t>
        </is>
      </c>
      <c r="D109" s="2" t="n">
        <v>6</v>
      </c>
      <c r="E109" s="2" t="inlineStr">
        <is>
          <t>Given the following information:  \[\sum\limits_{i=1}^{50} x_i = 1250, \sum\limits_{i=1}^{50} x_i^2 = 45000, \sum\limits</t>
        </is>
      </c>
      <c r="F109" s="2" t="inlineStr">
        <is>
          <t>yes</t>
        </is>
      </c>
      <c r="G109" s="2" t="inlineStr">
        <is>
          <t>decomposes sum via n*means plus r*sqrt(SSx*SSy) baseline</t>
        </is>
      </c>
      <c r="H109" s="2" t="inlineStr">
        <is>
          <t>yes</t>
        </is>
      </c>
      <c r="I109" s="2" t="inlineStr">
        <is>
          <t>decomposition identity with r=0 baseline lower bound</t>
        </is>
      </c>
      <c r="J109" s="2" t="inlineStr">
        <is>
          <t>yes-&gt;yes</t>
        </is>
      </c>
    </row>
    <row r="110">
      <c r="A110" s="2" t="n">
        <v>832</v>
      </c>
      <c r="B110" s="2" t="inlineStr">
        <is>
          <t>q_10731</t>
        </is>
      </c>
      <c r="C110" s="2" t="inlineStr">
        <is>
          <t>Mathematics -&gt; Number Theory -&gt; Congruences</t>
        </is>
      </c>
      <c r="D110" s="2" t="n">
        <v>5</v>
      </c>
      <c r="E110" s="2" t="inlineStr">
        <is>
          <t>Find the integer $d$ such that $17^d \equiv 8 \pmod{55}$. This is part of an RSA encryption problem.</t>
        </is>
      </c>
      <c r="F110" s="2" t="inlineStr">
        <is>
          <t>yes</t>
        </is>
      </c>
      <c r="G110" s="2" t="inlineStr">
        <is>
          <t>solved mod 5 and 11 separately, orders, CRT combination</t>
        </is>
      </c>
      <c r="H110" s="2" t="inlineStr">
        <is>
          <t>yes</t>
        </is>
      </c>
      <c r="I110" s="2" t="inlineStr">
        <is>
          <t>solves mod 5 and 11 via orders, CRT combination</t>
        </is>
      </c>
      <c r="J110" s="2" t="inlineStr">
        <is>
          <t>yes-&gt;yes</t>
        </is>
      </c>
    </row>
    <row r="111">
      <c r="A111" s="2" t="n">
        <v>854</v>
      </c>
      <c r="B111" s="2" t="inlineStr">
        <is>
          <t>q_29254</t>
        </is>
      </c>
      <c r="C111" s="2" t="inlineStr">
        <is>
          <t>Mathematics -&gt; Applied Mathematics -&gt; Statistics -&gt; Mathematical Statistics</t>
        </is>
      </c>
      <c r="D111" s="2" t="n">
        <v>5.5</v>
      </c>
      <c r="E111" s="2" t="inlineStr">
        <is>
          <t xml:space="preserve">Given $X_1, X_2, \ldots, X_{100}$ are correlated normal random variables with $E(X_i) = 0$, $Cov(X_i, X_j) = 0.2 \times </t>
        </is>
      </c>
      <c r="F111" s="2" t="inlineStr">
        <is>
          <t>yes</t>
        </is>
      </c>
      <c r="G111" s="2" t="inlineStr">
        <is>
          <t>Sigma as aI+bJ, factored n*sigma^2[1+(n-1)rho] formula</t>
        </is>
      </c>
      <c r="H111" s="2" t="inlineStr">
        <is>
          <t>yes</t>
        </is>
      </c>
      <c r="I111" s="2" t="inlineStr">
        <is>
          <t>used (a-b)I+bJ form and factored variance formula</t>
        </is>
      </c>
      <c r="J111" s="2" t="inlineStr">
        <is>
          <t>yes-&gt;yes</t>
        </is>
      </c>
    </row>
    <row r="112">
      <c r="A112" s="2" t="n">
        <v>855</v>
      </c>
      <c r="B112" s="2" t="inlineStr">
        <is>
          <t>q_67950</t>
        </is>
      </c>
      <c r="C112" s="2" t="inlineStr">
        <is>
          <t>Mathematics -&gt; Calculus -&gt; Integral Calculus -&gt; Techniques of Integration -&gt; Multi-variable</t>
        </is>
      </c>
      <c r="D112" s="2" t="n">
        <v>8</v>
      </c>
      <c r="E112" s="2" t="inlineStr">
        <is>
          <t>Calculate the contour integral \( \int_{|z|=3} \frac{z^{17}}{(z^2+2)^3(z^3+3)^4}dz \). Assume the singular points are wi</t>
        </is>
      </c>
      <c r="F112" s="2" t="inlineStr">
        <is>
          <t>yes</t>
        </is>
      </c>
      <c r="G112" s="2" t="inlineStr">
        <is>
          <t>residue at infinity via w=1/z substitution</t>
        </is>
      </c>
      <c r="H112" s="2" t="inlineStr">
        <is>
          <t>yes</t>
        </is>
      </c>
      <c r="I112" s="2" t="inlineStr">
        <is>
          <t>residue at infinity via leading coefficient ratio</t>
        </is>
      </c>
      <c r="J112" s="2" t="inlineStr">
        <is>
          <t>yes-&gt;yes</t>
        </is>
      </c>
    </row>
    <row r="113">
      <c r="A113" s="2" t="n">
        <v>893</v>
      </c>
      <c r="B113" s="2" t="inlineStr">
        <is>
          <t>q_30259</t>
        </is>
      </c>
      <c r="C113" s="2" t="inlineStr">
        <is>
          <t>Mathematics -&gt; Calculus -&gt; Differential Calculus -&gt; Applications of Derivatives</t>
        </is>
      </c>
      <c r="D113" s="2" t="n">
        <v>6</v>
      </c>
      <c r="E113" s="2" t="inlineStr">
        <is>
          <t>Find the absolute minimum of the function \( f(x,y,z) = xy + yz + zx \) subject to the constraint \( x^2 + y^2 + z^2 = 1</t>
        </is>
      </c>
      <c r="F113" s="2" t="inlineStr">
        <is>
          <t>yes</t>
        </is>
      </c>
      <c r="G113" s="2" t="inlineStr">
        <is>
          <t>Lagrange system, equation subtraction gives x=y or sum-zero cases</t>
        </is>
      </c>
      <c r="H113" s="2" t="inlineStr">
        <is>
          <t>unclear</t>
        </is>
      </c>
      <c r="I113" s="2" t="inlineStr">
        <is>
          <t>sum/difference testing used; minimum asserted without card's derivation</t>
        </is>
      </c>
      <c r="J113" s="2" t="inlineStr">
        <is>
          <t>yes-&gt;unclear</t>
        </is>
      </c>
    </row>
    <row r="114">
      <c r="A114" s="2" t="n">
        <v>902</v>
      </c>
      <c r="B114" s="2" t="inlineStr">
        <is>
          <t>q_78299</t>
        </is>
      </c>
      <c r="C114" s="2" t="inlineStr">
        <is>
          <t>Mathematics -&gt; Algebra -&gt; Linear Algebra -&gt; Linear Transformations</t>
        </is>
      </c>
      <c r="D114" s="2" t="n">
        <v>5.5</v>
      </c>
      <c r="E114" s="2" t="inlineStr">
        <is>
          <t>Consider vector spaces $V$ and $W$ with unequal dimensions. Determine if there can exist linear transformations $T: V \r</t>
        </is>
      </c>
      <c r="F114" s="2" t="inlineStr">
        <is>
          <t>yes</t>
        </is>
      </c>
      <c r="G114" s="2" t="inlineStr">
        <is>
          <t>injectivity/rank analysis then embed-and-project counterexample</t>
        </is>
      </c>
      <c r="H114" s="2" t="inlineStr">
        <is>
          <t>yes</t>
        </is>
      </c>
      <c r="I114" s="2" t="inlineStr">
        <is>
          <t>rank inequality plus embed-and-project construction</t>
        </is>
      </c>
      <c r="J114" s="2" t="inlineStr">
        <is>
          <t>yes-&gt;yes</t>
        </is>
      </c>
    </row>
    <row r="115">
      <c r="A115" s="2" t="n">
        <v>913</v>
      </c>
      <c r="B115" s="2" t="inlineStr">
        <is>
          <t>q_96318</t>
        </is>
      </c>
      <c r="C115" s="2" t="inlineStr">
        <is>
          <t>Mathematics -&gt; Algebra -&gt; Intermediate Algebra -&gt; Complex Numbers</t>
        </is>
      </c>
      <c r="D115" s="2" t="n">
        <v>4</v>
      </c>
      <c r="E115" s="2" t="inlineStr">
        <is>
          <t>The sum $10 e^{2 \pi i/11} + 10 e^{15 \pi i/22}$ is expressed as $re^{i \theta}.$  Enter the ordered pair $(r, \theta).$</t>
        </is>
      </c>
      <c r="F115" s="2" t="inlineStr">
        <is>
          <t>yes</t>
        </is>
      </c>
      <c r="G115" s="2" t="inlineStr">
        <is>
          <t>equal-magnitude midpoint/half-difference cosine formula applied</t>
        </is>
      </c>
      <c r="H115" s="2" t="inlineStr">
        <is>
          <t>yes</t>
        </is>
      </c>
      <c r="I115" s="2" t="inlineStr">
        <is>
          <t>common denominator, 2M cos(half-difference) midpoint-phase identity</t>
        </is>
      </c>
      <c r="J115" s="2" t="inlineStr">
        <is>
          <t>yes-&gt;yes</t>
        </is>
      </c>
    </row>
    <row r="116">
      <c r="A116" s="2" t="n">
        <v>918</v>
      </c>
      <c r="B116" s="2" t="inlineStr">
        <is>
          <t>q_70028</t>
        </is>
      </c>
      <c r="C116" s="2" t="inlineStr">
        <is>
          <t>Mathematics -&gt; Precalculus -&gt; Limits</t>
        </is>
      </c>
      <c r="D116" s="2" t="n">
        <v>6</v>
      </c>
      <c r="E116" s="2" t="inlineStr">
        <is>
          <t>Evaluate the limit: $$\lim_{n \to \infty} \cos^2\left(\pi \sqrt[3]{n^3+n^2+2n}\right), \quad n \in \mathbb{N}$$</t>
        </is>
      </c>
      <c r="F116" s="2" t="inlineStr">
        <is>
          <t>yes</t>
        </is>
      </c>
      <c r="G116" s="2" t="inlineStr">
        <is>
          <t>factored n out, binomial expansion, cosine periodicity</t>
        </is>
      </c>
      <c r="H116" s="2" t="inlineStr">
        <is>
          <t>yes</t>
        </is>
      </c>
      <c r="I116" s="2" t="inlineStr">
        <is>
          <t>asymptotic root expansion, periodicity decomposition of argument</t>
        </is>
      </c>
      <c r="J116" s="2" t="inlineStr">
        <is>
          <t>yes-&gt;yes</t>
        </is>
      </c>
    </row>
    <row r="117">
      <c r="A117" s="2" t="n">
        <v>922</v>
      </c>
      <c r="B117" s="2" t="inlineStr">
        <is>
          <t>q_67840</t>
        </is>
      </c>
      <c r="C117" s="2" t="inlineStr">
        <is>
          <t>Mathematics -&gt; Algebra -&gt; Abstract Algebra -&gt; Ring Theory</t>
        </is>
      </c>
      <c r="D117" s="2" t="n">
        <v>6</v>
      </c>
      <c r="E117" s="2" t="inlineStr">
        <is>
          <t>Determine the generator for the ideal in \( \mathbb{Z}[i] \) generated by the elements \( 3 + 4i \) and \( 4 + 7i \).</t>
        </is>
      </c>
      <c r="F117" s="2" t="inlineStr">
        <is>
          <t>yes</t>
        </is>
      </c>
      <c r="G117" s="2" t="inlineStr">
        <is>
          <t>Gaussian-integer Euclidean algorithm with conjugate division, norms</t>
        </is>
      </c>
      <c r="H117" s="2" t="inlineStr">
        <is>
          <t>yes</t>
        </is>
      </c>
      <c r="I117" s="2" t="inlineStr">
        <is>
          <t>Euclidean algorithm with conjugate division and rounding</t>
        </is>
      </c>
      <c r="J117" s="2" t="inlineStr">
        <is>
          <t>yes-&gt;yes</t>
        </is>
      </c>
    </row>
    <row r="118">
      <c r="A118" s="2" t="n">
        <v>932</v>
      </c>
      <c r="B118" s="2" t="inlineStr">
        <is>
          <t>q_93565</t>
        </is>
      </c>
      <c r="C118" s="2" t="inlineStr">
        <is>
          <t>Mathematics -&gt; Calculus -&gt; Integral Calculus -&gt; Techniques of Integration -&gt; Single-variable</t>
        </is>
      </c>
      <c r="D118" s="2" t="n">
        <v>6</v>
      </c>
      <c r="E118" s="2" t="inlineStr">
        <is>
          <t>Evaluate the sum \( I_1 + I_2 + I_3 + I_4 \), where for a positive integer \( n \), \( I_n = \int_{-\pi}^{\pi} \left(\fr</t>
        </is>
      </c>
      <c r="F118" s="2" t="inlineStr">
        <is>
          <t>yes</t>
        </is>
      </c>
      <c r="G118" s="2" t="inlineStr">
        <is>
          <t>parity reduction, integration by parts, even/odd bifurcation</t>
        </is>
      </c>
      <c r="H118" s="2" t="inlineStr">
        <is>
          <t>yes</t>
        </is>
      </c>
      <c r="I118" s="2" t="inlineStr">
        <is>
          <t>even-parity halving, integration by parts, (-1)^n case split</t>
        </is>
      </c>
      <c r="J118" s="2" t="inlineStr">
        <is>
          <t>yes-&gt;yes</t>
        </is>
      </c>
    </row>
    <row r="119">
      <c r="A119" s="2" t="n">
        <v>943</v>
      </c>
      <c r="B119" s="2" t="inlineStr">
        <is>
          <t>q_79020</t>
        </is>
      </c>
      <c r="C119" s="2" t="inlineStr">
        <is>
          <t>Mathematics -&gt; Calculus -&gt; Differential Calculus -&gt; Derivatives</t>
        </is>
      </c>
      <c r="D119" s="2" t="n">
        <v>5.5</v>
      </c>
      <c r="E119" s="2" t="inlineStr">
        <is>
          <t>Compute the mixed partial derivative \( u_{yx} \) of the function \( u(x,y) = \frac{xy(x^2-y^2)}{(x^2+y^2)} \) at the po</t>
        </is>
      </c>
      <c r="F119" s="2" t="inlineStr">
        <is>
          <t>yes</t>
        </is>
      </c>
      <c r="G119" s="2" t="inlineStr">
        <is>
          <t>symbolic first partial, then limit definition at origin</t>
        </is>
      </c>
      <c r="H119" s="2" t="inlineStr">
        <is>
          <t>yes</t>
        </is>
      </c>
      <c r="I119" s="2" t="inlineStr">
        <is>
          <t>computed u_x(0,y) then limit definition for y-derivative</t>
        </is>
      </c>
      <c r="J119" s="2" t="inlineStr">
        <is>
          <t>yes-&gt;yes</t>
        </is>
      </c>
    </row>
    <row r="120">
      <c r="A120" s="2" t="n">
        <v>949</v>
      </c>
      <c r="B120" s="2" t="inlineStr">
        <is>
          <t>q_19687</t>
        </is>
      </c>
      <c r="C120" s="2" t="inlineStr">
        <is>
          <t>Mathematics -&gt; Number Theory -&gt; Least Common Multiples (LCM)</t>
        </is>
      </c>
      <c r="D120" s="2" t="n">
        <v>6</v>
      </c>
      <c r="E120" s="2" t="inlineStr">
        <is>
          <t>Find the largest even number \( n \) such that there exist positive integers \( a \) and \( b \) satisfying the equation</t>
        </is>
      </c>
      <c r="F120" s="2" t="inlineStr">
        <is>
          <t>unclear</t>
        </is>
      </c>
      <c r="G120" s="2" t="inlineStr">
        <is>
          <t>starts L=C rearrangement, then incoherent nonterminating loop</t>
        </is>
      </c>
      <c r="H120" s="2" t="inlineStr">
        <is>
          <t>yes</t>
        </is>
      </c>
      <c r="I120" s="2" t="inlineStr">
        <is>
          <t>tested L=C boundary, a=2016, divisor search for even n</t>
        </is>
      </c>
      <c r="J120" s="2" t="inlineStr">
        <is>
          <t>unclear-&gt;yes</t>
        </is>
      </c>
    </row>
    <row r="121">
      <c r="A121" s="2" t="n">
        <v>955</v>
      </c>
      <c r="B121" s="2" t="inlineStr">
        <is>
          <t>q_27304</t>
        </is>
      </c>
      <c r="C121" s="2" t="inlineStr">
        <is>
          <t>Mathematics -&gt; Applied Mathematics -&gt; Statistics -&gt; Probability -&gt; Other</t>
        </is>
      </c>
      <c r="D121" s="2" t="n">
        <v>4.5</v>
      </c>
      <c r="E121" s="2" t="inlineStr">
        <is>
          <t>A small elevator has a maximum capacity $C$, which is normally distributed with a mean of $400$ kg and a standard deviat</t>
        </is>
      </c>
      <c r="F121" s="2" t="inlineStr">
        <is>
          <t>yes</t>
        </is>
      </c>
      <c r="G121" s="2" t="inlineStr">
        <is>
          <t>defined combined normal D, added variances, solved quadratic</t>
        </is>
      </c>
      <c r="H121" s="2" t="inlineStr">
        <is>
          <t>yes</t>
        </is>
      </c>
      <c r="I121" s="2" t="inlineStr">
        <is>
          <t>defined D=Sum-Capacity, added variances, quadratic, tested adjacent integers</t>
        </is>
      </c>
      <c r="J121" s="2" t="inlineStr">
        <is>
          <t>yes-&gt;yes</t>
        </is>
      </c>
    </row>
    <row r="122">
      <c r="A122" s="2" t="n">
        <v>957</v>
      </c>
      <c r="B122" s="2" t="inlineStr">
        <is>
          <t>q_27021</t>
        </is>
      </c>
      <c r="C122" s="2" t="inlineStr">
        <is>
          <t>Mathematics -&gt; Algebra -&gt; Abstract Algebra -&gt; Field Theory</t>
        </is>
      </c>
      <c r="D122" s="2" t="n">
        <v>8.5</v>
      </c>
      <c r="E122" s="2" t="inlineStr">
        <is>
          <t>Do there exist plane curves \(f, g \in \mathbb{C}[x,y,z]_d\), with \(d \ge 2\), that intersect in exactly one point in \</t>
        </is>
      </c>
      <c r="F122" s="2" t="inlineStr">
        <is>
          <t>unclear</t>
        </is>
      </c>
      <c r="G122" s="2" t="inlineStr">
        <is>
          <t>cites split-curve hint, abandons, invalid degree-1 fallback</t>
        </is>
      </c>
      <c r="H122" s="2" t="inlineStr">
        <is>
          <t>yes</t>
        </is>
      </c>
      <c r="I122" s="2" t="inlineStr">
        <is>
          <t>explicit construction at [0:0:1], Bezout multiplicity concentration</t>
        </is>
      </c>
      <c r="J122" s="2" t="inlineStr">
        <is>
          <t>unclear-&gt;yes</t>
        </is>
      </c>
    </row>
    <row r="123">
      <c r="A123" s="2" t="n">
        <v>965</v>
      </c>
      <c r="B123" s="2" t="inlineStr">
        <is>
          <t>q_55755</t>
        </is>
      </c>
      <c r="C123" s="2" t="inlineStr">
        <is>
          <t>Mathematics -&gt; Applied Mathematics -&gt; Statistics -&gt; Probability -&gt; Other</t>
        </is>
      </c>
      <c r="D123" s="2" t="n">
        <v>4.5</v>
      </c>
      <c r="E123" s="2" t="inlineStr">
        <is>
          <t>Jim rolls a fair six-sided die repeatedly and records the sum of the outcomes until the third time a 6 appears. Denote t</t>
        </is>
      </c>
      <c r="F123" s="2" t="inlineStr">
        <is>
          <t>yes</t>
        </is>
      </c>
      <c r="G123" s="2" t="inlineStr">
        <is>
          <t>success/failure decomposition, negative binomial failure count</t>
        </is>
      </c>
      <c r="H123" s="2" t="inlineStr">
        <is>
          <t>yes</t>
        </is>
      </c>
      <c r="I123" s="2" t="inlineStr">
        <is>
          <t>success/failure decomposition, negative binomial failures, mean non-six value</t>
        </is>
      </c>
      <c r="J123" s="2" t="inlineStr">
        <is>
          <t>yes-&gt;yes</t>
        </is>
      </c>
    </row>
    <row r="124">
      <c r="A124" s="2" t="n">
        <v>971</v>
      </c>
      <c r="B124" s="2" t="inlineStr">
        <is>
          <t>q_73386</t>
        </is>
      </c>
      <c r="C124" s="2" t="inlineStr">
        <is>
          <t>Mathematics -&gt; Algebra -&gt; Abstract Algebra -&gt; Field Theory</t>
        </is>
      </c>
      <c r="D124" s="2" t="n">
        <v>8.5</v>
      </c>
      <c r="E124" s="2" t="inlineStr">
        <is>
          <t>Determine if there exists a power series \( \sum_{k=0}^\infty a_k x^k \) such that the \( n \)-th partial sum has \( n \</t>
        </is>
      </c>
      <c r="F124" s="2" t="inlineStr">
        <is>
          <t>yes</t>
        </is>
      </c>
      <c r="G124" s="2" t="inlineStr">
        <is>
          <t>a0=0, imposed a2 relation, inductive discriminant argument</t>
        </is>
      </c>
      <c r="H124" s="2" t="inlineStr">
        <is>
          <t>yes</t>
        </is>
      </c>
      <c r="I124" s="2" t="inlineStr">
        <is>
          <t>sets a0=0, imposes a2=a1, inductive discriminant argument</t>
        </is>
      </c>
      <c r="J124" s="2" t="inlineStr">
        <is>
          <t>yes-&gt;yes</t>
        </is>
      </c>
    </row>
    <row r="125">
      <c r="A125" s="2" t="n">
        <v>977</v>
      </c>
      <c r="B125" s="2" t="inlineStr">
        <is>
          <t>q_87670</t>
        </is>
      </c>
      <c r="C125" s="2" t="inlineStr">
        <is>
          <t>Mathematics -&gt; Geometry -&gt; Plane Geometry -&gt; Triangulations</t>
        </is>
      </c>
      <c r="D125" s="2" t="n">
        <v>5</v>
      </c>
      <c r="E125" s="2" t="inlineStr">
        <is>
          <t>In triangle $ABC$, where $AB = 9$, $BC = 10$, and $CA = 17$, point $B'$ is the reflection of point $B$ over line $CA$. L</t>
        </is>
      </c>
      <c r="F125" s="2" t="inlineStr">
        <is>
          <t>yes</t>
        </is>
      </c>
      <c r="G125" s="2" t="inlineStr">
        <is>
          <t>Heron altitude, reflection distance BB', centroid displacement scaling</t>
        </is>
      </c>
      <c r="H125" s="2" t="inlineStr">
        <is>
          <t>yes</t>
        </is>
      </c>
      <c r="I125" s="2" t="inlineStr">
        <is>
          <t>Heron altitude, BB'=2h, GG'=BB'/3 centroid property</t>
        </is>
      </c>
      <c r="J125" s="2" t="inlineStr">
        <is>
          <t>yes-&gt;yes</t>
        </is>
      </c>
    </row>
    <row r="126">
      <c r="A126" s="2" t="n">
        <v>983</v>
      </c>
      <c r="B126" s="2" t="inlineStr">
        <is>
          <t>q_88849</t>
        </is>
      </c>
      <c r="C126" s="2" t="inlineStr">
        <is>
          <t>Mathematics -&gt; Geometry -&gt; Plane Geometry -&gt; Angles</t>
        </is>
      </c>
      <c r="D126" s="2" t="n">
        <v>5.5</v>
      </c>
      <c r="E126" s="2" t="inlineStr">
        <is>
          <t>Determine the angle of inclination between two lines that lie in the second bisector plane, which is located in the seco</t>
        </is>
      </c>
      <c r="F126" s="2" t="inlineStr">
        <is>
          <t>yes</t>
        </is>
      </c>
      <c r="G126" s="2" t="inlineStr">
        <is>
          <t>plane x+y=0, intersection direction vectors, dot product</t>
        </is>
      </c>
      <c r="H126" s="2" t="inlineStr">
        <is>
          <t>yes</t>
        </is>
      </c>
      <c r="I126" s="2" t="inlineStr">
        <is>
          <t>Cartesian x+y=0 setup, direction vectors, orthogonality check</t>
        </is>
      </c>
      <c r="J126" s="2" t="inlineStr">
        <is>
          <t>yes-&gt;yes</t>
        </is>
      </c>
    </row>
    <row r="127">
      <c r="A127" s="2" t="n">
        <v>992</v>
      </c>
      <c r="B127" s="2" t="inlineStr">
        <is>
          <t>q_11924</t>
        </is>
      </c>
      <c r="C127" s="2" t="inlineStr">
        <is>
          <t>Mathematics -&gt; Algebra -&gt; Algebra -&gt; Polynomial Operations</t>
        </is>
      </c>
      <c r="D127" s="2" t="n">
        <v>5</v>
      </c>
      <c r="E127" s="2" t="inlineStr">
        <is>
          <t>Given that $\alpha, \beta, \gamma, \delta$ are the roots of the polynomial equation $x^4 - 3x + 1 = 0$, find the value o</t>
        </is>
      </c>
      <c r="F127" s="2" t="inlineStr">
        <is>
          <t>yes</t>
        </is>
      </c>
      <c r="G127" s="2" t="inlineStr">
        <is>
          <t>Newton's identities recursion for power sums</t>
        </is>
      </c>
      <c r="H127" s="2" t="inlineStr">
        <is>
          <t>yes</t>
        </is>
      </c>
      <c r="I127" s="2" t="inlineStr">
        <is>
          <t>Newton's identities recursion on power sums</t>
        </is>
      </c>
      <c r="J127" s="2" t="inlineStr">
        <is>
          <t>yes-&gt;yes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34" customWidth="1" min="3" max="3"/>
    <col width="9" customWidth="1" min="4" max="4"/>
    <col width="46" customWidth="1" min="5" max="5"/>
    <col width="14" customWidth="1" min="6" max="6"/>
    <col width="40" customWidth="1" min="7" max="7"/>
    <col width="16" customWidth="1" min="8" max="8"/>
    <col width="40" customWidth="1" min="9" max="9"/>
    <col width="16" customWidth="1" min="10" max="10"/>
  </cols>
  <sheetData>
    <row r="1">
      <c r="A1" s="1" t="inlineStr">
        <is>
          <t>item_index</t>
        </is>
      </c>
      <c r="B1" s="1" t="inlineStr">
        <is>
          <t>question_id</t>
        </is>
      </c>
      <c r="C1" s="1" t="inlineStr">
        <is>
          <t>topic</t>
        </is>
      </c>
      <c r="D1" s="1" t="inlineStr">
        <is>
          <t>difficulty</t>
        </is>
      </c>
      <c r="E1" s="1" t="inlineStr">
        <is>
          <t>question (first 120 chars)</t>
        </is>
      </c>
      <c r="F1" s="1" t="inlineStr">
        <is>
          <t>verdict x1 {q,i}</t>
        </is>
      </c>
      <c r="G1" s="1" t="inlineStr">
        <is>
          <t>evidence x1</t>
        </is>
      </c>
      <c r="H1" s="1" t="inlineStr">
        <is>
          <t>verdict x2 {q,i|q,i}</t>
        </is>
      </c>
      <c r="I1" s="1" t="inlineStr">
        <is>
          <t>evidence x2</t>
        </is>
      </c>
      <c r="J1" s="1" t="inlineStr">
        <is>
          <t>transition</t>
        </is>
      </c>
    </row>
    <row r="2">
      <c r="A2" s="2" t="n">
        <v>20</v>
      </c>
      <c r="B2" s="2" t="inlineStr">
        <is>
          <t>q_31003</t>
        </is>
      </c>
      <c r="C2" s="2" t="inlineStr">
        <is>
          <t>Mathematics -&gt; Algebra -&gt; Algebra -&gt; Polynomial Operations</t>
        </is>
      </c>
      <c r="D2" s="2" t="n">
        <v>6.5</v>
      </c>
      <c r="E2" s="2" t="inlineStr">
        <is>
          <t>Evaluate the limit: \[ \lim_{n \to \infty} \frac{\sqrt{a(4^0n)}+\sqrt{a(4^1n)}+\cdots+\sqrt{a(4^{10}n)}}{\sqrt{a(2^0n)}+</t>
        </is>
      </c>
      <c r="F2" s="2" t="inlineStr">
        <is>
          <t>yes</t>
        </is>
      </c>
      <c r="G2" s="2" t="inlineStr">
        <is>
          <t>dominant term, factored n, geometric series identity</t>
        </is>
      </c>
      <c r="H2" s="2" t="inlineStr">
        <is>
          <t>yes</t>
        </is>
      </c>
      <c r="I2" s="2" t="inlineStr">
        <is>
          <t>dominant term principle, sqrt(2)kn ratio of sums</t>
        </is>
      </c>
      <c r="J2" s="2" t="inlineStr">
        <is>
          <t>yes-&gt;yes</t>
        </is>
      </c>
    </row>
    <row r="3">
      <c r="A3" s="2" t="n">
        <v>24</v>
      </c>
      <c r="B3" s="2" t="inlineStr">
        <is>
          <t>q_66076</t>
        </is>
      </c>
      <c r="C3" s="2" t="inlineStr">
        <is>
          <t>Mathematics -&gt; Algebra -&gt; Abstract Algebra -&gt; Ring Theory</t>
        </is>
      </c>
      <c r="D3" s="2" t="n">
        <v>8</v>
      </c>
      <c r="E3" s="2" t="inlineStr">
        <is>
          <t>Let $R \subseteq S$ be commutative rings such that $R$ is a subring of $S$ with the same unity. Suppose $S$ has an $R$-m</t>
        </is>
      </c>
      <c r="F3" s="2" t="inlineStr">
        <is>
          <t>yes</t>
        </is>
      </c>
      <c r="G3" s="2" t="inlineStr">
        <is>
          <t>built splitting functional from decomposition projection</t>
        </is>
      </c>
      <c r="H3" s="2" t="inlineStr">
        <is>
          <t>yes</t>
        </is>
      </c>
      <c r="I3" s="2" t="inlineStr">
        <is>
          <t>projective implies splitting, projection functional with p(1)=1</t>
        </is>
      </c>
      <c r="J3" s="2" t="inlineStr">
        <is>
          <t>yes-&gt;yes</t>
        </is>
      </c>
    </row>
    <row r="4">
      <c r="A4" s="2" t="n">
        <v>37</v>
      </c>
      <c r="B4" s="2" t="inlineStr">
        <is>
          <t>q_20329</t>
        </is>
      </c>
      <c r="C4" s="2" t="inlineStr">
        <is>
          <t>Mathematics -&gt; Other</t>
        </is>
      </c>
      <c r="D4" s="2" t="n">
        <v>7</v>
      </c>
      <c r="E4" s="2" t="inlineStr">
        <is>
          <t xml:space="preserve">Let $X$ be a finite dimensional space such that $X \subset H^1$. Consider a sequence of non-negative functions $f_n \in </t>
        </is>
      </c>
      <c r="F4" s="2" t="inlineStr">
        <is>
          <t>yes</t>
        </is>
      </c>
      <c r="G4" s="2" t="inlineStr">
        <is>
          <t>a.e.-convergent subsequence plus contradiction argument</t>
        </is>
      </c>
      <c r="H4" s="2" t="inlineStr">
        <is>
          <t>yes</t>
        </is>
      </c>
      <c r="I4" s="2" t="inlineStr">
        <is>
          <t>Subsequence a.e. convergence plus closed cone argument</t>
        </is>
      </c>
      <c r="J4" s="2" t="inlineStr">
        <is>
          <t>yes-&gt;yes</t>
        </is>
      </c>
    </row>
    <row r="5">
      <c r="A5" s="2" t="n">
        <v>54</v>
      </c>
      <c r="B5" s="2" t="inlineStr">
        <is>
          <t>q_11109</t>
        </is>
      </c>
      <c r="C5" s="2" t="inlineStr">
        <is>
          <t>Mathematics -&gt; Algebra -&gt; Linear Algebra -&gt; Linear Transformations</t>
        </is>
      </c>
      <c r="D5" s="2" t="n">
        <v>5.5</v>
      </c>
      <c r="E5" s="2" t="inlineStr">
        <is>
          <t>Let \(H\) and \(K\) be affine subspaces of a real vector space, defined as follows: \[ H = \{x \in X : f(x) = c\}, \text</t>
        </is>
      </c>
      <c r="F5" s="2" t="inlineStr">
        <is>
          <t>yes</t>
        </is>
      </c>
      <c r="G5" s="2" t="inlineStr">
        <is>
          <t>kernel translation argument, proportionality, evaluated shared point</t>
        </is>
      </c>
      <c r="H5" s="2" t="inlineStr">
        <is>
          <t>yes</t>
        </is>
      </c>
      <c r="I5" s="2" t="inlineStr">
        <is>
          <t>kernel inclusion, codimension one, evaluated at shared point</t>
        </is>
      </c>
      <c r="J5" s="2" t="inlineStr">
        <is>
          <t>yes-&gt;yes</t>
        </is>
      </c>
    </row>
    <row r="6">
      <c r="A6" s="2" t="n">
        <v>63</v>
      </c>
      <c r="B6" s="2" t="inlineStr">
        <is>
          <t>q_37951</t>
        </is>
      </c>
      <c r="C6" s="2" t="inlineStr">
        <is>
          <t>Mathematics -&gt; Calculus -&gt; Differential Calculus -&gt; Derivatives</t>
        </is>
      </c>
      <c r="D6" s="2" t="n">
        <v>5</v>
      </c>
      <c r="E6" s="2" t="inlineStr">
        <is>
          <t>Determine whether the function $-f(z)$, where $f(z) = \frac{1}{z}$, is a primitive function of $g(z) = \frac{1}{z^2}$ on</t>
        </is>
      </c>
      <c r="F6" s="2" t="inlineStr">
        <is>
          <t>yes</t>
        </is>
      </c>
      <c r="G6" s="2" t="inlineStr">
        <is>
          <t>differentiated candidate, verified match and single-valuedness on domain</t>
        </is>
      </c>
      <c r="H6" s="2" t="inlineStr">
        <is>
          <t>yes</t>
        </is>
      </c>
      <c r="I6" s="2" t="inlineStr">
        <is>
          <t>differentiated candidate, checked closed-loop integral condition</t>
        </is>
      </c>
      <c r="J6" s="2" t="inlineStr">
        <is>
          <t>yes-&gt;yes</t>
        </is>
      </c>
    </row>
    <row r="7">
      <c r="A7" s="2" t="n">
        <v>65</v>
      </c>
      <c r="B7" s="2" t="inlineStr">
        <is>
          <t>q_91181</t>
        </is>
      </c>
      <c r="C7" s="2" t="inlineStr">
        <is>
          <t>Mathematics -&gt; Algebra -&gt; Algebra -&gt; Polynomial Operations</t>
        </is>
      </c>
      <c r="D7" s="2" t="n">
        <v>5</v>
      </c>
      <c r="E7" s="2" t="inlineStr">
        <is>
          <t>Let \( P(x) \) be a polynomial of degree 4 such that \( P(0) = 1 \), \( P(1) = 1 \), \( P(2) = 4 \), \( P(3) = 9 \), and</t>
        </is>
      </c>
      <c r="F7" s="2" t="inlineStr">
        <is>
          <t>yes</t>
        </is>
      </c>
      <c r="G7" s="2" t="inlineStr">
        <is>
          <t>Q(x)=P−x² with roots, solved k=1/24</t>
        </is>
      </c>
      <c r="H7" s="2" t="inlineStr">
        <is>
          <t>unclear</t>
        </is>
      </c>
      <c r="I7" s="2" t="inlineStr">
        <is>
          <t>started Q(x)=P−x² factoring, abandoned for wrong direct form</t>
        </is>
      </c>
      <c r="J7" s="2" t="inlineStr">
        <is>
          <t>yes-&gt;unclear</t>
        </is>
      </c>
    </row>
    <row r="8">
      <c r="A8" s="2" t="n">
        <v>69</v>
      </c>
      <c r="B8" s="2" t="inlineStr">
        <is>
          <t>q_46507</t>
        </is>
      </c>
      <c r="C8" s="2" t="inlineStr">
        <is>
          <t>Mathematics -&gt; Algebra -&gt; Abstract Algebra -&gt; Ring Theory</t>
        </is>
      </c>
      <c r="D8" s="2" t="n">
        <v>8.5</v>
      </c>
      <c r="E8" s="2" t="inlineStr">
        <is>
          <t xml:space="preserve">Let $A$ be a commutative ring with unit and $M$ a module over $A$. Suppose the rank of $M_{P}$ over $A_{P}$ is constant </t>
        </is>
      </c>
      <c r="F8" s="2" t="inlineStr">
        <is>
          <t>yes</t>
        </is>
      </c>
      <c r="G8" s="2" t="inlineStr">
        <is>
          <t>fiber-dimension rank definition, recognized tautological inclusion</t>
        </is>
      </c>
      <c r="H8" s="2" t="inlineStr">
        <is>
          <t>yes</t>
        </is>
      </c>
      <c r="I8" s="2" t="inlineStr">
        <is>
          <t>fiber-dimension rank definition, torsion module counterexample</t>
        </is>
      </c>
      <c r="J8" s="2" t="inlineStr">
        <is>
          <t>yes-&gt;yes</t>
        </is>
      </c>
    </row>
    <row r="9">
      <c r="A9" s="2" t="n">
        <v>81</v>
      </c>
      <c r="B9" s="2" t="inlineStr">
        <is>
          <t>q_11337</t>
        </is>
      </c>
      <c r="C9" s="2" t="inlineStr">
        <is>
          <t>Mathematics -&gt; Geometry -&gt; Solid Geometry -&gt; Surface Area</t>
        </is>
      </c>
      <c r="D9" s="2" t="n">
        <v>7.5</v>
      </c>
      <c r="E9" s="2" t="inlineStr">
        <is>
          <t>Calculate the surface area of the portion of the sphere defined by \(x^2 + y^2 + z^2 = 16z\) that lies within the parabo</t>
        </is>
      </c>
      <c r="F9" s="2" t="inlineStr">
        <is>
          <t>yes</t>
        </is>
      </c>
      <c r="G9" s="2" t="inlineStr">
        <is>
          <t>Completed square, r-squared substitution, spherical cap formula</t>
        </is>
      </c>
      <c r="H9" s="2" t="inlineStr">
        <is>
          <t>yes</t>
        </is>
      </c>
      <c r="I9" s="2" t="inlineStr">
        <is>
          <t>Completed square, r-squared substitution, spherical cap formula</t>
        </is>
      </c>
      <c r="J9" s="2" t="inlineStr">
        <is>
          <t>yes-&gt;yes</t>
        </is>
      </c>
    </row>
    <row r="10">
      <c r="A10" s="2" t="n">
        <v>87</v>
      </c>
      <c r="B10" s="2" t="inlineStr">
        <is>
          <t>q_7040</t>
        </is>
      </c>
      <c r="C10" s="2" t="inlineStr">
        <is>
          <t>Mathematics -&gt; Calculus -&gt; Integral Calculus -&gt; Techniques of Integration -&gt; Single-variable</t>
        </is>
      </c>
      <c r="D10" s="2" t="n">
        <v>8</v>
      </c>
      <c r="E10" s="2" t="inlineStr">
        <is>
          <t>Evaluate the limit: \[ \lim_{x\to0}(x\Gamma(x))^\frac{1}{x} \]</t>
        </is>
      </c>
      <c r="F10" s="2" t="inlineStr">
        <is>
          <t>yes</t>
        </is>
      </c>
      <c r="G10" s="2" t="inlineStr">
        <is>
          <t>exp transform plus Laurent series, reached e^{-gamma}</t>
        </is>
      </c>
      <c r="H10" s="2" t="inlineStr">
        <is>
          <t>yes</t>
        </is>
      </c>
      <c r="I10" s="2" t="inlineStr">
        <is>
          <t>exp transform and Laurent expansion executed, though miscalculated</t>
        </is>
      </c>
      <c r="J10" s="2" t="inlineStr">
        <is>
          <t>yes-&gt;yes</t>
        </is>
      </c>
    </row>
    <row r="11">
      <c r="A11" s="2" t="n">
        <v>102</v>
      </c>
      <c r="B11" s="2" t="inlineStr">
        <is>
          <t>q_64488</t>
        </is>
      </c>
      <c r="C11" s="2" t="inlineStr">
        <is>
          <t>Mathematics -&gt; Calculus -&gt; Integral Calculus -&gt; Applications of Integrals</t>
        </is>
      </c>
      <c r="D11" s="2" t="n">
        <v>8</v>
      </c>
      <c r="E11" s="2" t="inlineStr">
        <is>
          <t>Determine whether there exists a function $g$ that is continuous everywhere but integrable only on bounded intervals.</t>
        </is>
      </c>
      <c r="F11" s="2" t="inlineStr">
        <is>
          <t>yes</t>
        </is>
      </c>
      <c r="G11" s="2" t="inlineStr">
        <is>
          <t>sought continuous function with divergent improper integral</t>
        </is>
      </c>
      <c r="H11" s="2" t="inlineStr">
        <is>
          <t>yes</t>
        </is>
      </c>
      <c r="I11" s="2" t="inlineStr">
        <is>
          <t>Local integrability from continuity; non-decaying tail breaks global</t>
        </is>
      </c>
      <c r="J11" s="2" t="inlineStr">
        <is>
          <t>yes-&gt;yes</t>
        </is>
      </c>
    </row>
    <row r="12">
      <c r="A12" s="2" t="n">
        <v>118</v>
      </c>
      <c r="B12" s="2" t="inlineStr">
        <is>
          <t>q_12850</t>
        </is>
      </c>
      <c r="C12" s="2" t="inlineStr">
        <is>
          <t>Mathematics -&gt; Precalculus -&gt; Trigonometric Functions</t>
        </is>
      </c>
      <c r="D12" s="2" t="n">
        <v>5.5</v>
      </c>
      <c r="E12" s="2" t="inlineStr">
        <is>
          <t>If \(\arctan(4) = 4 \arctan(x)\), find the value of the expression \(x^5 - 7x^3 + 5x^2 + 2x + 9870\).</t>
        </is>
      </c>
      <c r="F12" s="2" t="inlineStr">
        <is>
          <t>yes</t>
        </is>
      </c>
      <c r="G12" s="2" t="inlineStr">
        <is>
          <t>tan multiple-angle polynomial plus power reduction</t>
        </is>
      </c>
      <c r="H12" s="2" t="inlineStr">
        <is>
          <t>unclear</t>
        </is>
      </c>
      <c r="I12" s="2" t="inlineStr">
        <is>
          <t>mentions polynomial reduction but never derives polynomial or divides</t>
        </is>
      </c>
      <c r="J12" s="2" t="inlineStr">
        <is>
          <t>yes-&gt;unclear</t>
        </is>
      </c>
    </row>
    <row r="13">
      <c r="A13" s="2" t="n">
        <v>148</v>
      </c>
      <c r="B13" s="2" t="inlineStr">
        <is>
          <t>q_72223</t>
        </is>
      </c>
      <c r="C13" s="2" t="inlineStr">
        <is>
          <t>Mathematics -&gt; Algebra -&gt; Abstract Algebra -&gt; Group Theory</t>
        </is>
      </c>
      <c r="D13" s="2" t="n">
        <v>7.5</v>
      </c>
      <c r="E13" s="2" t="inlineStr">
        <is>
          <t>Given a group $G$ with the following properties: 1. $G' = Z(G)$, where $Z(G)$ is the center of $G$. 2. $|Z(G)| = p$, whe</t>
        </is>
      </c>
      <c r="F13" s="2" t="inlineStr">
        <is>
          <t>yes</t>
        </is>
      </c>
      <c r="G13" s="2" t="inlineStr">
        <is>
          <t>sum-of-squares with p^2 linears, solved m=p-1 p-dimensional reps</t>
        </is>
      </c>
      <c r="H13" s="2" t="inlineStr">
        <is>
          <t>yes</t>
        </is>
      </c>
      <c r="I13" s="2" t="inlineStr">
        <is>
          <t>sum-of-squares identity with p^2 linear plus p-dimensional reps</t>
        </is>
      </c>
      <c r="J13" s="2" t="inlineStr">
        <is>
          <t>yes-&gt;yes</t>
        </is>
      </c>
    </row>
    <row r="14">
      <c r="A14" s="2" t="n">
        <v>166</v>
      </c>
      <c r="B14" s="2" t="inlineStr">
        <is>
          <t>q_30558</t>
        </is>
      </c>
      <c r="C14" s="2" t="inlineStr">
        <is>
          <t>Mathematics -&gt; Calculus -&gt; Integral Calculus -&gt; Techniques of Integration -&gt; Single-variable</t>
        </is>
      </c>
      <c r="D14" s="2" t="n">
        <v>7.5</v>
      </c>
      <c r="E14" s="2" t="inlineStr">
        <is>
          <t>Calculate the limit: \[ \lim_{n \to \infty} \frac{1}{n^n} \int_0^n x^n \arctan(x^{1/n}) \, dx. \]</t>
        </is>
      </c>
      <c r="F14" s="2" t="inlineStr">
        <is>
          <t>yes</t>
        </is>
      </c>
      <c r="G14" s="2" t="inlineStr">
        <is>
          <t>x=ny then boundary-layer substitution with e^{-u} kernel</t>
        </is>
      </c>
      <c r="H14" s="2" t="inlineStr">
        <is>
          <t>yes</t>
        </is>
      </c>
      <c r="I14" s="2" t="inlineStr">
        <is>
          <t>substituted x=ny then y=1-u/n, exponential kernel limit</t>
        </is>
      </c>
      <c r="J14" s="2" t="inlineStr">
        <is>
          <t>yes-&gt;yes</t>
        </is>
      </c>
    </row>
    <row r="15">
      <c r="A15" s="2" t="n">
        <v>168</v>
      </c>
      <c r="B15" s="2" t="inlineStr">
        <is>
          <t>q_60435</t>
        </is>
      </c>
      <c r="C15" s="2" t="inlineStr">
        <is>
          <t>Mathematics -&gt; Applied Mathematics -&gt; Statistics -&gt; Probability -&gt; Other</t>
        </is>
      </c>
      <c r="D15" s="2" t="n">
        <v>5.5</v>
      </c>
      <c r="E15" s="2" t="inlineStr">
        <is>
          <t>Calculate the expected value of the sixth power of a standard normal random variable \( Y \), using the Law of the Uncon</t>
        </is>
      </c>
      <c r="F15" s="2" t="inlineStr">
        <is>
          <t>yes</t>
        </is>
      </c>
      <c r="G15" s="2" t="inlineStr">
        <is>
          <t>symmetry halving plus Gamma-function substitution</t>
        </is>
      </c>
      <c r="H15" s="2" t="inlineStr">
        <is>
          <t>yes</t>
        </is>
      </c>
      <c r="I15" s="2" t="inlineStr">
        <is>
          <t>applied double factorial even-moment formula, though misstated</t>
        </is>
      </c>
      <c r="J15" s="2" t="inlineStr">
        <is>
          <t>yes-&gt;yes</t>
        </is>
      </c>
    </row>
    <row r="16">
      <c r="A16" s="2" t="n">
        <v>171</v>
      </c>
      <c r="B16" s="2" t="inlineStr">
        <is>
          <t>q_9722</t>
        </is>
      </c>
      <c r="C16" s="2" t="inlineStr">
        <is>
          <t>Mathematics -&gt; Algebra -&gt; Abstract Algebra -&gt; Ring Theory</t>
        </is>
      </c>
      <c r="D16" s="2" t="n">
        <v>7</v>
      </c>
      <c r="E16" s="2" t="inlineStr">
        <is>
          <t>Let $R$ be a ring and $M$ a free $R$-module with basis $B$. If $P$ is a prime ideal of $R$, is $B_P$ a basis for the $R_</t>
        </is>
      </c>
      <c r="F16" s="2" t="inlineStr">
        <is>
          <t>yes</t>
        </is>
      </c>
      <c r="G16" s="2" t="inlineStr">
        <is>
          <t>checked generation and independence by clearing denominators</t>
        </is>
      </c>
      <c r="H16" s="2" t="inlineStr">
        <is>
          <t>yes</t>
        </is>
      </c>
      <c r="I16" s="2" t="inlineStr">
        <is>
          <t>localization preserves generation; cleared denominators for independence</t>
        </is>
      </c>
      <c r="J16" s="2" t="inlineStr">
        <is>
          <t>yes-&gt;yes</t>
        </is>
      </c>
    </row>
    <row r="17">
      <c r="A17" s="2" t="n">
        <v>173</v>
      </c>
      <c r="B17" s="2" t="inlineStr">
        <is>
          <t>q_74126</t>
        </is>
      </c>
      <c r="C17" s="2" t="inlineStr">
        <is>
          <t>Mathematics -&gt; Geometry -&gt; Differential Geometry -&gt; Manifolds</t>
        </is>
      </c>
      <c r="D17" s="2" t="n">
        <v>8</v>
      </c>
      <c r="E17" s="2" t="inlineStr">
        <is>
          <t xml:space="preserve">Determine whether the following statement is true or false: A homogeneous polynomial $f$ in at least three variables is </t>
        </is>
      </c>
      <c r="F17" s="2" t="inlineStr">
        <is>
          <t>yes</t>
        </is>
      </c>
      <c r="G17" s="2" t="inlineStr">
        <is>
          <t>Contrapositive via gradient product rule and projective intersection</t>
        </is>
      </c>
      <c r="H17" s="2" t="inlineStr">
        <is>
          <t>yes</t>
        </is>
      </c>
      <c r="I17" s="2" t="inlineStr">
        <is>
          <t>contrapositive, gradient product rule, projective dimension counting</t>
        </is>
      </c>
      <c r="J17" s="2" t="inlineStr">
        <is>
          <t>yes-&gt;yes</t>
        </is>
      </c>
    </row>
    <row r="18">
      <c r="A18" s="2" t="n">
        <v>180</v>
      </c>
      <c r="B18" s="2" t="inlineStr">
        <is>
          <t>q_50884</t>
        </is>
      </c>
      <c r="C18" s="2" t="inlineStr">
        <is>
          <t>Mathematics -&gt; Algebra -&gt; Intermediate Algebra -&gt; Other</t>
        </is>
      </c>
      <c r="D18" s="2" t="n">
        <v>4</v>
      </c>
      <c r="E18" s="2" t="inlineStr">
        <is>
          <t xml:space="preserve">Find the smallest natural number \( n \) such that its decimal representation ends in 6, and when the 6 is moved to the </t>
        </is>
      </c>
      <c r="F18" s="2" t="inlineStr">
        <is>
          <t>yes</t>
        </is>
      </c>
      <c r="G18" s="2" t="inlineStr">
        <is>
          <t>algebraic 10a+6 model, modular search for smallest k</t>
        </is>
      </c>
      <c r="H18" s="2" t="inlineStr">
        <is>
          <t>yes</t>
        </is>
      </c>
      <c r="I18" s="2" t="inlineStr">
        <is>
          <t>Algebraic n=10a+6 setup with iterative k search</t>
        </is>
      </c>
      <c r="J18" s="2" t="inlineStr">
        <is>
          <t>yes-&gt;yes</t>
        </is>
      </c>
    </row>
    <row r="19">
      <c r="A19" s="2" t="n">
        <v>181</v>
      </c>
      <c r="B19" s="2" t="inlineStr">
        <is>
          <t>q_93322</t>
        </is>
      </c>
      <c r="C19" s="2" t="inlineStr">
        <is>
          <t>Mathematics -&gt; Discrete Mathematics -&gt; Combinatorics</t>
        </is>
      </c>
      <c r="D19" s="2" t="n">
        <v>4.5</v>
      </c>
      <c r="E19" s="2" t="inlineStr">
        <is>
          <t>Karlson has 49 ones written on a board. Each minute, he erases any two numbers and writes their sum on the board. He the</t>
        </is>
      </c>
      <c r="F19" s="2" t="inlineStr">
        <is>
          <t>no</t>
        </is>
      </c>
      <c r="G19" s="2" t="inlineStr">
        <is>
          <t>greedy summation strategy; invariant mentioned but unused</t>
        </is>
      </c>
      <c r="H19" s="2" t="inlineStr">
        <is>
          <t>yes</t>
        </is>
      </c>
      <c r="I19" s="2" t="inlineStr">
        <is>
          <t>Sum-of-squares invariant tracking 2ab per merge</t>
        </is>
      </c>
      <c r="J19" s="2" t="inlineStr">
        <is>
          <t>no-&gt;yes</t>
        </is>
      </c>
    </row>
    <row r="20">
      <c r="A20" s="2" t="n">
        <v>183</v>
      </c>
      <c r="B20" s="2" t="inlineStr">
        <is>
          <t>q_20855</t>
        </is>
      </c>
      <c r="C20" s="2" t="inlineStr">
        <is>
          <t>Mathematics -&gt; Calculus -&gt; Integral Calculus -&gt; Techniques of Integration -&gt; Multi-variable</t>
        </is>
      </c>
      <c r="D20" s="2" t="n">
        <v>8</v>
      </c>
      <c r="E20" s="2" t="inlineStr">
        <is>
          <t>Determine whether there exists a continuous function \( f: \mathbb{T} \rightarrow \mathbb{R} \) such that \( \lim_{n\rig</t>
        </is>
      </c>
      <c r="F20" s="2" t="inlineStr">
        <is>
          <t>yes</t>
        </is>
      </c>
      <c r="G20" s="2" t="inlineStr">
        <is>
          <t>coefficient summation, constant-function target matching</t>
        </is>
      </c>
      <c r="H20" s="2" t="inlineStr">
        <is>
          <t>no</t>
        </is>
      </c>
      <c r="I20" s="2" t="inlineStr">
        <is>
          <t>Cesaro convergence argument, no basis-element construction</t>
        </is>
      </c>
      <c r="J20" s="2" t="inlineStr">
        <is>
          <t>yes-&gt;no</t>
        </is>
      </c>
    </row>
    <row r="21">
      <c r="A21" s="2" t="n">
        <v>187</v>
      </c>
      <c r="B21" s="2" t="inlineStr">
        <is>
          <t>q_604</t>
        </is>
      </c>
      <c r="C21" s="2" t="inlineStr">
        <is>
          <t>Mathematics -&gt; Discrete Mathematics -&gt; Logic</t>
        </is>
      </c>
      <c r="D21" s="2" t="n">
        <v>8</v>
      </c>
      <c r="E21" s="2" t="inlineStr">
        <is>
          <t>In a compact metrizable topological space $X$, if the Boolean algebra of clopen sets is finite, does it imply that the B</t>
        </is>
      </c>
      <c r="F21" s="2" t="inlineStr">
        <is>
          <t>yes</t>
        </is>
      </c>
      <c r="G21" s="2" t="inlineStr">
        <is>
          <t>components as clopen intersections, finite atoms bound components</t>
        </is>
      </c>
      <c r="H21" s="2" t="inlineStr">
        <is>
          <t>yes</t>
        </is>
      </c>
      <c r="I21" s="2" t="inlineStr">
        <is>
          <t>components as clopen intersections, finite atoms bound components</t>
        </is>
      </c>
      <c r="J21" s="2" t="inlineStr">
        <is>
          <t>yes-&gt;yes</t>
        </is>
      </c>
    </row>
    <row r="22">
      <c r="A22" s="2" t="n">
        <v>193</v>
      </c>
      <c r="B22" s="2" t="inlineStr">
        <is>
          <t>q_98320</t>
        </is>
      </c>
      <c r="C22" s="2" t="inlineStr">
        <is>
          <t>Mathematics -&gt; Algebra -&gt; Prealgebra -&gt; Integers</t>
        </is>
      </c>
      <c r="D22" s="2" t="n">
        <v>5</v>
      </c>
      <c r="E22" s="2" t="inlineStr">
        <is>
          <t>Rodney uses the following clues to try to guess a secret number: \begin{tabular}{ c } It is a two-digit integer.\\ The t</t>
        </is>
      </c>
      <c r="F22" s="2" t="inlineStr">
        <is>
          <t>yes</t>
        </is>
      </c>
      <c r="G22" s="2" t="inlineStr">
        <is>
          <t>Enumerated valid numbers by digit constraints, 1/N probability</t>
        </is>
      </c>
      <c r="H22" s="2" t="inlineStr">
        <is>
          <t>yes</t>
        </is>
      </c>
      <c r="I22" s="2" t="inlineStr">
        <is>
          <t>enumerated qualifying numbers, probability one over count</t>
        </is>
      </c>
      <c r="J22" s="2" t="inlineStr">
        <is>
          <t>yes-&gt;yes</t>
        </is>
      </c>
    </row>
    <row r="23">
      <c r="A23" s="2" t="n">
        <v>225</v>
      </c>
      <c r="B23" s="2" t="inlineStr">
        <is>
          <t>q_17925</t>
        </is>
      </c>
      <c r="C23" s="2" t="inlineStr">
        <is>
          <t>Mathematics -&gt; Number Theory -&gt; Prime Numbers</t>
        </is>
      </c>
      <c r="D23" s="2" t="n">
        <v>6</v>
      </c>
      <c r="E23" s="2" t="inlineStr">
        <is>
          <t>Let $p, q, r$ be distinct primes and $a, b$ be natural numbers greater than 1. Must there exist some $a, b$ such that $p</t>
        </is>
      </c>
      <c r="F23" s="2" t="inlineStr">
        <is>
          <t>yes</t>
        </is>
      </c>
      <c r="G23" s="2" t="inlineStr">
        <is>
          <t>FLT normalization with exponents p-1</t>
        </is>
      </c>
      <c r="H23" s="2" t="inlineStr">
        <is>
          <t>yes</t>
        </is>
      </c>
      <c r="I23" s="2" t="inlineStr">
        <is>
          <t>modular congruence plus Fermat exponents p-1</t>
        </is>
      </c>
      <c r="J23" s="2" t="inlineStr">
        <is>
          <t>yes-&gt;yes</t>
        </is>
      </c>
    </row>
    <row r="24">
      <c r="A24" s="2" t="n">
        <v>231</v>
      </c>
      <c r="B24" s="2" t="inlineStr">
        <is>
          <t>q_68737</t>
        </is>
      </c>
      <c r="C24" s="2" t="inlineStr">
        <is>
          <t>Mathematics -&gt; Algebra -&gt; Linear Algebra -&gt; Matrices</t>
        </is>
      </c>
      <c r="D24" s="2" t="n">
        <v>8</v>
      </c>
      <c r="E24" s="2" t="inlineStr">
        <is>
          <t xml:space="preserve">Determine whether the matrix \( M(N+1) \) is invertible for any positive integer \( N \), where \( M(N+1) \) is defined </t>
        </is>
      </c>
      <c r="F24" s="2" t="inlineStr">
        <is>
          <t>yes</t>
        </is>
      </c>
      <c r="G24" s="2" t="inlineStr">
        <is>
          <t>integral representation, Gram matrix, linear independence of monomials</t>
        </is>
      </c>
      <c r="H24" s="2" t="inlineStr">
        <is>
          <t>yes</t>
        </is>
      </c>
      <c r="I24" s="2" t="inlineStr">
        <is>
          <t>integral representation, Gram matrix, linear independence of monomials</t>
        </is>
      </c>
      <c r="J24" s="2" t="inlineStr">
        <is>
          <t>yes-&gt;yes</t>
        </is>
      </c>
    </row>
    <row r="25">
      <c r="A25" s="2" t="n">
        <v>238</v>
      </c>
      <c r="B25" s="2" t="inlineStr">
        <is>
          <t>q_29753</t>
        </is>
      </c>
      <c r="C25" s="2" t="inlineStr">
        <is>
          <t>Mathematics -&gt; Calculus -&gt; Differential Calculus -&gt; Applications of Derivatives</t>
        </is>
      </c>
      <c r="D25" s="2" t="n">
        <v>7</v>
      </c>
      <c r="E25" s="2" t="inlineStr">
        <is>
          <t>Consider a continuous surjection \( g: (0,1) \to [0,1] \). Determine whether the preimage of \([0,1]\) under \(g\) is op</t>
        </is>
      </c>
      <c r="F25" s="2" t="inlineStr">
        <is>
          <t>yes</t>
        </is>
      </c>
      <c r="G25" s="2" t="inlineStr">
        <is>
          <t>preimage equals domain, whole space open in itself</t>
        </is>
      </c>
      <c r="H25" s="2" t="inlineStr">
        <is>
          <t>yes</t>
        </is>
      </c>
      <c r="I25" s="2" t="inlineStr">
        <is>
          <t>preimage equals domain, whole space open in itself</t>
        </is>
      </c>
      <c r="J25" s="2" t="inlineStr">
        <is>
          <t>yes-&gt;yes</t>
        </is>
      </c>
    </row>
    <row r="26">
      <c r="A26" s="2" t="n">
        <v>239</v>
      </c>
      <c r="B26" s="2" t="inlineStr">
        <is>
          <t>q_11408</t>
        </is>
      </c>
      <c r="C26" s="2" t="inlineStr">
        <is>
          <t>Mathematics -&gt; Calculus -&gt; Integral Calculus -&gt; Techniques of Integration -&gt; Single-variable</t>
        </is>
      </c>
      <c r="D26" s="2" t="n">
        <v>7.5</v>
      </c>
      <c r="E26" s="2" t="inlineStr">
        <is>
          <t>Determine the values of $y$ for which the integral \( \int_{0}^{\infty}\frac{\arctan\left(x^{3}\right)\ln\left(1 + x^{2}</t>
        </is>
      </c>
      <c r="F26" s="2" t="inlineStr">
        <is>
          <t>yes</t>
        </is>
      </c>
      <c r="G26" s="2" t="inlineStr">
        <is>
          <t>split at zero/infinity, Taylor and log-power tests, intersected</t>
        </is>
      </c>
      <c r="H26" s="2" t="inlineStr">
        <is>
          <t>yes</t>
        </is>
      </c>
      <c r="I26" s="2" t="inlineStr">
        <is>
          <t>split at zero/infinity, Taylor and log-power analysis</t>
        </is>
      </c>
      <c r="J26" s="2" t="inlineStr">
        <is>
          <t>yes-&gt;yes</t>
        </is>
      </c>
    </row>
    <row r="27">
      <c r="A27" s="2" t="n">
        <v>247</v>
      </c>
      <c r="B27" s="2" t="inlineStr">
        <is>
          <t>q_99292</t>
        </is>
      </c>
      <c r="C27" s="2" t="inlineStr">
        <is>
          <t>Mathematics -&gt; Geometry -&gt; Plane Geometry -&gt; Area</t>
        </is>
      </c>
      <c r="D27" s="2" t="n">
        <v>5</v>
      </c>
      <c r="E27" s="2" t="inlineStr">
        <is>
          <t>In the figure below, if the area of $\triangle ABC$ is 27, what is the value of $p$? [asy] size(5cm);defaultpen(fontsize</t>
        </is>
      </c>
      <c r="F27" s="2" t="inlineStr">
        <is>
          <t>yes</t>
        </is>
      </c>
      <c r="G27" s="2" t="inlineStr">
        <is>
          <t>Shoelace formula, two absolute-value cases, diagram disambiguation</t>
        </is>
      </c>
      <c r="H27" s="2" t="inlineStr">
        <is>
          <t>yes</t>
        </is>
      </c>
      <c r="I27" s="2" t="inlineStr">
        <is>
          <t>Shoelace formula, absolute value cases, diagram disambiguation</t>
        </is>
      </c>
      <c r="J27" s="2" t="inlineStr">
        <is>
          <t>yes-&gt;yes</t>
        </is>
      </c>
    </row>
    <row r="28">
      <c r="A28" s="2" t="n">
        <v>248</v>
      </c>
      <c r="B28" s="2" t="inlineStr">
        <is>
          <t>q_94183</t>
        </is>
      </c>
      <c r="C28" s="2" t="inlineStr">
        <is>
          <t>Mathematics -&gt; Number Theory -&gt; Prime Numbers</t>
        </is>
      </c>
      <c r="D28" s="2" t="n">
        <v>8.5</v>
      </c>
      <c r="E28" s="2" t="inlineStr">
        <is>
          <t>Determine whether there exists a natural number \( n &gt; 10^{1000} \) that is not divisible by 10, such that in its decima</t>
        </is>
      </c>
      <c r="F28" s="2" t="inlineStr">
        <is>
          <t>unclear</t>
        </is>
      </c>
      <c r="G28" s="2" t="inlineStr">
        <is>
          <t>Loose shared-prime construction; no delta analysis, not carried through</t>
        </is>
      </c>
      <c r="H28" s="2" t="inlineStr">
        <is>
          <t>no</t>
        </is>
      </c>
      <c r="I28" s="2" t="inlineStr">
        <is>
          <t>ad hoc construction and factorization, no delta/modular analysis</t>
        </is>
      </c>
      <c r="J28" s="2" t="inlineStr">
        <is>
          <t>unclear-&gt;no</t>
        </is>
      </c>
    </row>
    <row r="29">
      <c r="A29" s="2" t="n">
        <v>254</v>
      </c>
      <c r="B29" s="2" t="inlineStr">
        <is>
          <t>q_5381</t>
        </is>
      </c>
      <c r="C29" s="2" t="inlineStr">
        <is>
          <t>Mathematics -&gt; Other</t>
        </is>
      </c>
      <c r="D29" s="2" t="n">
        <v>9</v>
      </c>
      <c r="E29" s="2" t="inlineStr">
        <is>
          <t>Does there exist a Banach space $E$ and a linear functional $\lambda \in E^*$ such that $\lambda$ is an extreme point of</t>
        </is>
      </c>
      <c r="F29" s="2" t="inlineStr">
        <is>
          <t>no</t>
        </is>
      </c>
      <c r="G29" s="2" t="inlineStr">
        <is>
          <t>standard C[0,1] and l1 constructions, ignores non-metric C(K) prescription</t>
        </is>
      </c>
      <c r="H29" s="2" t="inlineStr">
        <is>
          <t>yes</t>
        </is>
      </c>
      <c r="I29" s="2" t="inlineStr">
        <is>
          <t>used C(betaN), non-metrizable K, extreme evaluation functional</t>
        </is>
      </c>
      <c r="J29" s="2" t="inlineStr">
        <is>
          <t>no-&gt;yes</t>
        </is>
      </c>
    </row>
    <row r="30">
      <c r="A30" s="2" t="n">
        <v>257</v>
      </c>
      <c r="B30" s="2" t="inlineStr">
        <is>
          <t>q_93768</t>
        </is>
      </c>
      <c r="C30" s="2" t="inlineStr">
        <is>
          <t>Mathematics -&gt; Geometry -&gt; Plane Geometry -&gt; Other</t>
        </is>
      </c>
      <c r="D30" s="2" t="n">
        <v>5.5</v>
      </c>
      <c r="E30" s="2" t="inlineStr">
        <is>
          <t>An ellipse has a major axis of length 4, with its left vertex located on the parabola defined by the equation \( y^2 = x</t>
        </is>
      </c>
      <c r="F30" s="2" t="inlineStr">
        <is>
          <t>yes</t>
        </is>
      </c>
      <c r="G30" s="2" t="inlineStr">
        <is>
          <t>center via a/e, vertex substituted, k²≥0 constraint</t>
        </is>
      </c>
      <c r="H30" s="2" t="inlineStr">
        <is>
          <t>unclear</t>
        </is>
      </c>
      <c r="I30" s="2" t="inlineStr">
        <is>
          <t>Attempted vertex-parabola substitution; no center-eccentricity parametrization, incoherent</t>
        </is>
      </c>
      <c r="J30" s="2" t="inlineStr">
        <is>
          <t>yes-&gt;unclear</t>
        </is>
      </c>
    </row>
    <row r="31">
      <c r="A31" s="2" t="n">
        <v>265</v>
      </c>
      <c r="B31" s="2" t="inlineStr">
        <is>
          <t>q_30704</t>
        </is>
      </c>
      <c r="C31" s="2" t="inlineStr">
        <is>
          <t>Mathematics -&gt; Algebra -&gt; Algebra -&gt; Equations and Inequalities</t>
        </is>
      </c>
      <c r="D31" s="2" t="n">
        <v>3</v>
      </c>
      <c r="E31" s="2" t="inlineStr">
        <is>
          <t>Find the largest integer value of $X$ such that \( \frac{4X-1}{5} \), \( \frac{4X-2}{6} \), and \( \frac{4X-3}{7} \) are</t>
        </is>
      </c>
      <c r="F31" s="2" t="inlineStr">
        <is>
          <t>yes</t>
        </is>
      </c>
      <c r="G31" s="2" t="inlineStr">
        <is>
          <t>congruences, CRT general solution, bounded largest n</t>
        </is>
      </c>
      <c r="H31" s="2" t="inlineStr">
        <is>
          <t>yes</t>
        </is>
      </c>
      <c r="I31" s="2" t="inlineStr">
        <is>
          <t>congruence system, CRT general solution, range bound for largest</t>
        </is>
      </c>
      <c r="J31" s="2" t="inlineStr">
        <is>
          <t>yes-&gt;yes</t>
        </is>
      </c>
    </row>
    <row r="32">
      <c r="A32" s="2" t="n">
        <v>276</v>
      </c>
      <c r="B32" s="2" t="inlineStr">
        <is>
          <t>q_7313</t>
        </is>
      </c>
      <c r="C32" s="2" t="inlineStr">
        <is>
          <t>Mathematics -&gt; Calculus -&gt; Integral Calculus -&gt; Techniques of Integration -&gt; Multi-variable</t>
        </is>
      </c>
      <c r="D32" s="2" t="n">
        <v>6.5</v>
      </c>
      <c r="E32" s="2" t="inlineStr">
        <is>
          <t>Evaluate the integral \( \int_{-\pi}^{\pi} \frac{d\theta}{1+\sin^2(\theta)} \) using residue theory.</t>
        </is>
      </c>
      <c r="F32" s="2" t="inlineStr">
        <is>
          <t>yes</t>
        </is>
      </c>
      <c r="G32" s="2" t="inlineStr">
        <is>
          <t>z=e^{iθ} contour, interior poles, residue sum</t>
        </is>
      </c>
      <c r="H32" s="2" t="inlineStr">
        <is>
          <t>yes</t>
        </is>
      </c>
      <c r="I32" s="2" t="inlineStr">
        <is>
          <t>z=e^{i\theta} substitution, unit-circle poles, residue theorem throughout</t>
        </is>
      </c>
      <c r="J32" s="2" t="inlineStr">
        <is>
          <t>yes-&gt;yes</t>
        </is>
      </c>
    </row>
    <row r="33">
      <c r="A33" s="2" t="n">
        <v>279</v>
      </c>
      <c r="B33" s="2" t="inlineStr">
        <is>
          <t>q_30302</t>
        </is>
      </c>
      <c r="C33" s="2" t="inlineStr">
        <is>
          <t>Mathematics -&gt; Calculus -&gt; Differential Calculus -&gt; Applications of Derivatives</t>
        </is>
      </c>
      <c r="D33" s="2" t="n">
        <v>6</v>
      </c>
      <c r="E33" s="2" t="inlineStr">
        <is>
          <t>Evaluate the limit: \[ \lim_{x \to 0} \left[ \frac{1}{x^2} \int_0^x \frac{t + t^2}{1 + \sin t}\, \mathrm{d} t \right] \]</t>
        </is>
      </c>
      <c r="F33" s="2" t="inlineStr">
        <is>
          <t>yes</t>
        </is>
      </c>
      <c r="G33" s="2" t="inlineStr">
        <is>
          <t>L'Hopital with Fundamental Theorem of Calculus</t>
        </is>
      </c>
      <c r="H33" s="2" t="inlineStr">
        <is>
          <t>yes</t>
        </is>
      </c>
      <c r="I33" s="2" t="inlineStr">
        <is>
          <t>Taylor-expanded integrand, integrated, applied L'Hopital</t>
        </is>
      </c>
      <c r="J33" s="2" t="inlineStr">
        <is>
          <t>yes-&gt;yes</t>
        </is>
      </c>
    </row>
    <row r="34">
      <c r="A34" s="2" t="n">
        <v>280</v>
      </c>
      <c r="B34" s="2" t="inlineStr">
        <is>
          <t>q_19865</t>
        </is>
      </c>
      <c r="C34" s="2" t="inlineStr">
        <is>
          <t>Mathematics -&gt; Calculus -&gt; Integral Calculus -&gt; Applications of Integrals</t>
        </is>
      </c>
      <c r="D34" s="2" t="n">
        <v>4.5</v>
      </c>
      <c r="E34" s="2" t="inlineStr">
        <is>
          <t>Find the volume of the solid obtained by revolving the region bounded by \( y = \sin\left(\frac{\pi x}{12}\right) \) and</t>
        </is>
      </c>
      <c r="F34" s="2" t="inlineStr">
        <is>
          <t>yes</t>
        </is>
      </c>
      <c r="G34" s="2" t="inlineStr">
        <is>
          <t>shell radius x+1, sine-root bounds, integration by parts</t>
        </is>
      </c>
      <c r="H34" s="2" t="inlineStr">
        <is>
          <t>yes</t>
        </is>
      </c>
      <c r="I34" s="2" t="inlineStr">
        <is>
          <t>shell radius x+1, roots as bounds, integration by parts</t>
        </is>
      </c>
      <c r="J34" s="2" t="inlineStr">
        <is>
          <t>yes-&gt;yes</t>
        </is>
      </c>
    </row>
    <row r="35">
      <c r="A35" s="2" t="n">
        <v>284</v>
      </c>
      <c r="B35" s="2" t="inlineStr">
        <is>
          <t>q_97370</t>
        </is>
      </c>
      <c r="C35" s="2" t="inlineStr">
        <is>
          <t>Mathematics -&gt; Geometry -&gt; Plane Geometry -&gt; Area</t>
        </is>
      </c>
      <c r="D35" s="2" t="n">
        <v>3</v>
      </c>
      <c r="E35" s="2" t="inlineStr">
        <is>
          <t>Circle $C$ has radius 10 cm. How many square centimeters are in the area of the largest possible inscribed triangle havi</t>
        </is>
      </c>
      <c r="F35" s="2" t="inlineStr">
        <is>
          <t>yes</t>
        </is>
      </c>
      <c r="G35" s="2" t="inlineStr">
        <is>
          <t>Thales right triangle plus isosceles symmetry maximization</t>
        </is>
      </c>
      <c r="H35" s="2" t="inlineStr">
        <is>
          <t>yes</t>
        </is>
      </c>
      <c r="I35" s="2" t="inlineStr">
        <is>
          <t>Thales right triangle, isosceles symmetry maximization</t>
        </is>
      </c>
      <c r="J35" s="2" t="inlineStr">
        <is>
          <t>yes-&gt;yes</t>
        </is>
      </c>
    </row>
    <row r="36">
      <c r="A36" s="2" t="n">
        <v>288</v>
      </c>
      <c r="B36" s="2" t="inlineStr">
        <is>
          <t>q_28463</t>
        </is>
      </c>
      <c r="C36" s="2" t="inlineStr">
        <is>
          <t>Mathematics -&gt; Calculus -&gt; Integral Calculus -&gt; Applications of Integrals</t>
        </is>
      </c>
      <c r="D36" s="2" t="n">
        <v>5.5</v>
      </c>
      <c r="E36" s="2" t="inlineStr">
        <is>
          <t>Find the length of the curve given by the equation \(6xy = 3 + x^4\) between \(x = 1\) and \(x = 2\).</t>
        </is>
      </c>
      <c r="F36" s="2" t="inlineStr">
        <is>
          <t>yes</t>
        </is>
      </c>
      <c r="G36" s="2" t="inlineStr">
        <is>
          <t>perfect-square factoring of arc-length radicand</t>
        </is>
      </c>
      <c r="H36" s="2" t="inlineStr">
        <is>
          <t>yes</t>
        </is>
      </c>
      <c r="I36" s="2" t="inlineStr">
        <is>
          <t>factored radicand into perfect square for arc length</t>
        </is>
      </c>
      <c r="J36" s="2" t="inlineStr">
        <is>
          <t>yes-&gt;yes</t>
        </is>
      </c>
    </row>
    <row r="37">
      <c r="A37" s="2" t="n">
        <v>305</v>
      </c>
      <c r="B37" s="2" t="inlineStr">
        <is>
          <t>q_21797</t>
        </is>
      </c>
      <c r="C37" s="2" t="inlineStr">
        <is>
          <t>Mathematics -&gt; Algebra -&gt; Abstract Algebra -&gt; Group Theory</t>
        </is>
      </c>
      <c r="D37" s="2" t="n">
        <v>8.5</v>
      </c>
      <c r="E37" s="2" t="inlineStr">
        <is>
          <t xml:space="preserve">Let $G$ be a connected compact Lie group and $H$ be a connected Lie subgroup of $G$ such that $G$ and $H$ have the same </t>
        </is>
      </c>
      <c r="F37" s="2" t="inlineStr">
        <is>
          <t>yes</t>
        </is>
      </c>
      <c r="G37" s="2" t="inlineStr">
        <is>
          <t>Euler characteristic via Hopf-Samelson equal-rank argument</t>
        </is>
      </c>
      <c r="H37" s="2" t="inlineStr">
        <is>
          <t>yes</t>
        </is>
      </c>
      <c r="I37" s="2" t="inlineStr">
        <is>
          <t>Hopf-Samelson nonzero Euler characteristic forces even dimension</t>
        </is>
      </c>
      <c r="J37" s="2" t="inlineStr">
        <is>
          <t>yes-&gt;yes</t>
        </is>
      </c>
    </row>
    <row r="38">
      <c r="A38" s="2" t="n">
        <v>311</v>
      </c>
      <c r="B38" s="2" t="inlineStr">
        <is>
          <t>q_63668</t>
        </is>
      </c>
      <c r="C38" s="2" t="inlineStr">
        <is>
          <t>Mathematics -&gt; Geometry -&gt; Solid Geometry -&gt; Surface Area</t>
        </is>
      </c>
      <c r="D38" s="2" t="n">
        <v>8</v>
      </c>
      <c r="E38" s="2" t="inlineStr">
        <is>
          <t xml:space="preserve">Calculate the surface area of the portion of the cone \(x^2 + y^2 = z^2\) that lies inside the sphere \(x^2 + y^2 + z^2 </t>
        </is>
      </c>
      <c r="F38" s="2" t="inlineStr">
        <is>
          <t>yes</t>
        </is>
      </c>
      <c r="G38" s="2" t="inlineStr">
        <is>
          <t>found intersection by substitution, used dS=sqrt2 dA times circle area</t>
        </is>
      </c>
      <c r="H38" s="2" t="inlineStr">
        <is>
          <t>yes</t>
        </is>
      </c>
      <c r="I38" s="2" t="inlineStr">
        <is>
          <t>intersection by substitution, dS=sqrt2 dA over projected circle</t>
        </is>
      </c>
      <c r="J38" s="2" t="inlineStr">
        <is>
          <t>yes-&gt;yes</t>
        </is>
      </c>
    </row>
    <row r="39">
      <c r="A39" s="2" t="n">
        <v>345</v>
      </c>
      <c r="B39" s="2" t="inlineStr">
        <is>
          <t>q_6908</t>
        </is>
      </c>
      <c r="C39" s="2" t="inlineStr">
        <is>
          <t>Mathematics -&gt; Precalculus -&gt; Limits</t>
        </is>
      </c>
      <c r="D39" s="2" t="n">
        <v>5</v>
      </c>
      <c r="E39" s="2" t="inlineStr">
        <is>
          <t>Evaluate the limit: \[ \lim_{n \to \infty} \left( \sin^4{x} + \frac{1}{4} \sin^4{2x} + \cdots + \frac{1}{{4}^n} \sin^4{2</t>
        </is>
      </c>
      <c r="F39" s="2" t="inlineStr">
        <is>
          <t>yes</t>
        </is>
      </c>
      <c r="G39" s="2" t="inlineStr">
        <is>
          <t>telescoping identity sin⁴=sin²−¼sin²2θ, vanishing tail</t>
        </is>
      </c>
      <c r="H39" s="2" t="inlineStr">
        <is>
          <t>unclear</t>
        </is>
      </c>
      <c r="I39" s="2" t="inlineStr">
        <is>
          <t>began telescoping identity, then switched to geometric series</t>
        </is>
      </c>
      <c r="J39" s="2" t="inlineStr">
        <is>
          <t>yes-&gt;unclear</t>
        </is>
      </c>
    </row>
    <row r="40">
      <c r="A40" s="2" t="n">
        <v>349</v>
      </c>
      <c r="B40" s="2" t="inlineStr">
        <is>
          <t>q_61340</t>
        </is>
      </c>
      <c r="C40" s="2" t="inlineStr">
        <is>
          <t>Mathematics -&gt; Algebra -&gt; Algebra -&gt; Equations and Inequalities</t>
        </is>
      </c>
      <c r="D40" s="2" t="n">
        <v>6</v>
      </c>
      <c r="E40" s="2" t="inlineStr">
        <is>
          <t>Find the minimum value of \( \frac{x^2+y^2}{x+y}+\frac{y^2+z^2}{y+z}+\frac{z^2+x^2}{z+x} \) given that \( x,y,z&gt;0 \) and</t>
        </is>
      </c>
      <c r="F40" s="2" t="inlineStr">
        <is>
          <t>yes</t>
        </is>
      </c>
      <c r="G40" s="2" t="inlineStr">
        <is>
          <t>Decomposed terms, maximized remainder via AM-HM, tested x=y=z</t>
        </is>
      </c>
      <c r="H40" s="2" t="inlineStr">
        <is>
          <t>unclear</t>
        </is>
      </c>
      <c r="I40" s="2" t="inlineStr">
        <is>
          <t>equality baseline used, but bound via Cauchy-Schwarz, not decomposition</t>
        </is>
      </c>
      <c r="J40" s="2" t="inlineStr">
        <is>
          <t>yes-&gt;unclear</t>
        </is>
      </c>
    </row>
    <row r="41">
      <c r="A41" s="2" t="n">
        <v>366</v>
      </c>
      <c r="B41" s="2" t="inlineStr">
        <is>
          <t>q_98887</t>
        </is>
      </c>
      <c r="C41" s="2" t="inlineStr">
        <is>
          <t>Mathematics -&gt; Discrete Mathematics -&gt; Combinatorics</t>
        </is>
      </c>
      <c r="D41" s="2" t="n">
        <v>3</v>
      </c>
      <c r="E41" s="2" t="inlineStr">
        <is>
          <t>Using only the digits 7, 8 and 9, how many positive seven-digit integers can be made that are palindromes?</t>
        </is>
      </c>
      <c r="F41" s="2" t="inlineStr">
        <is>
          <t>yes</t>
        </is>
      </c>
      <c r="G41" s="2" t="inlineStr">
        <is>
          <t>four free palindrome slots, 3^4 multiplication principle</t>
        </is>
      </c>
      <c r="H41" s="2" t="inlineStr">
        <is>
          <t>yes</t>
        </is>
      </c>
      <c r="I41" s="2" t="inlineStr">
        <is>
          <t>symmetry-determined slots times multiplication principle</t>
        </is>
      </c>
      <c r="J41" s="2" t="inlineStr">
        <is>
          <t>yes-&gt;yes</t>
        </is>
      </c>
    </row>
    <row r="42">
      <c r="A42" s="2" t="n">
        <v>373</v>
      </c>
      <c r="B42" s="2" t="inlineStr">
        <is>
          <t>q_32401</t>
        </is>
      </c>
      <c r="C42" s="2" t="inlineStr">
        <is>
          <t>Mathematics -&gt; Algebra -&gt; Linear Algebra -&gt; Vectors</t>
        </is>
      </c>
      <c r="D42" s="2" t="n">
        <v>4.5</v>
      </c>
      <c r="E42" s="2" t="inlineStr">
        <is>
          <t>Given that \( u + v + w = 0 \) and \( \|u\| = \|v\| = \|w\| = 1 \), show that \( \langle u, v \rangle = -\frac{1}{2} \).</t>
        </is>
      </c>
      <c r="F42" s="2" t="inlineStr">
        <is>
          <t>yes</t>
        </is>
      </c>
      <c r="G42" s="2" t="inlineStr">
        <is>
          <t>squared the vanishing sum, expanded norm, used symmetry</t>
        </is>
      </c>
      <c r="H42" s="2" t="inlineStr">
        <is>
          <t>yes</t>
        </is>
      </c>
      <c r="I42" s="2" t="inlineStr">
        <is>
          <t>squared-norm expansion of u+v+w=0</t>
        </is>
      </c>
      <c r="J42" s="2" t="inlineStr">
        <is>
          <t>yes-&gt;yes</t>
        </is>
      </c>
    </row>
    <row r="43">
      <c r="A43" s="2" t="n">
        <v>391</v>
      </c>
      <c r="B43" s="2" t="inlineStr">
        <is>
          <t>q_9424</t>
        </is>
      </c>
      <c r="C43" s="2" t="inlineStr">
        <is>
          <t>Mathematics -&gt; Calculus -&gt; Differential Calculus -&gt; Applications of Derivatives</t>
        </is>
      </c>
      <c r="D43" s="2" t="n">
        <v>6.5</v>
      </c>
      <c r="E43" s="2" t="inlineStr">
        <is>
          <t>Determine the order of the pole of the function \( \frac{1}{(2\cos z -2 +z^2)^2} \) at \( z=0 \).</t>
        </is>
      </c>
      <c r="F43" s="2" t="inlineStr">
        <is>
          <t>yes</t>
        </is>
      </c>
      <c r="G43" s="2" t="inlineStr">
        <is>
          <t>Taylor expansion, zero order four times exponent two</t>
        </is>
      </c>
      <c r="H43" s="2" t="inlineStr">
        <is>
          <t>yes</t>
        </is>
      </c>
      <c r="I43" s="2" t="inlineStr">
        <is>
          <t>Maclaurin expansion, zero order multiplied by exponent</t>
        </is>
      </c>
      <c r="J43" s="2" t="inlineStr">
        <is>
          <t>yes-&gt;yes</t>
        </is>
      </c>
    </row>
    <row r="44">
      <c r="A44" s="2" t="n">
        <v>393</v>
      </c>
      <c r="B44" s="2" t="inlineStr">
        <is>
          <t>q_68973</t>
        </is>
      </c>
      <c r="C44" s="2" t="inlineStr">
        <is>
          <t>Mathematics -&gt; Calculus -&gt; Integral Calculus -&gt; Techniques of Integration -&gt; Single-variable</t>
        </is>
      </c>
      <c r="D44" s="2" t="n">
        <v>6</v>
      </c>
      <c r="E44" s="2" t="inlineStr">
        <is>
          <t>Evaluate the series \( \sum^{\infty}_{n=2}\frac{(4n^2+8n+3)2^n}{n!} \) and express it in terms of the exponential functi</t>
        </is>
      </c>
      <c r="F44" s="2" t="inlineStr">
        <is>
          <t>yes</t>
        </is>
      </c>
      <c r="G44" s="2" t="inlineStr">
        <is>
          <t>falling-factorial decomposition, index shifts to e^2 series</t>
        </is>
      </c>
      <c r="H44" s="2" t="inlineStr">
        <is>
          <t>yes</t>
        </is>
      </c>
      <c r="I44" s="2" t="inlineStr">
        <is>
          <t>falling factorial decomposition, index shifts to e^2 terms</t>
        </is>
      </c>
      <c r="J44" s="2" t="inlineStr">
        <is>
          <t>yes-&gt;yes</t>
        </is>
      </c>
    </row>
    <row r="45">
      <c r="A45" s="2" t="n">
        <v>397</v>
      </c>
      <c r="B45" s="2" t="inlineStr">
        <is>
          <t>q_50218</t>
        </is>
      </c>
      <c r="C45" s="2" t="inlineStr">
        <is>
          <t>Mathematics -&gt; Algebra -&gt; Linear Algebra -&gt; Determinants</t>
        </is>
      </c>
      <c r="D45" s="2" t="n">
        <v>5.5</v>
      </c>
      <c r="E45" s="2" t="inlineStr">
        <is>
          <t>Calculate the determinant of the following tridiagonal matrix: \[\det\begin{pmatrix} 5 &amp; 6 &amp; 0 &amp; 0 &amp; 0 &amp; \cdots &amp; 0 \\ 4</t>
        </is>
      </c>
      <c r="F45" s="2" t="inlineStr">
        <is>
          <t>yes</t>
        </is>
      </c>
      <c r="G45" s="2" t="inlineStr">
        <is>
          <t>recurrence, base cases, characteristic equation closed form</t>
        </is>
      </c>
      <c r="H45" s="2" t="inlineStr">
        <is>
          <t>yes</t>
        </is>
      </c>
      <c r="I45" s="2" t="inlineStr">
        <is>
          <t>Recurrence, characteristic equation, base-case constants solved</t>
        </is>
      </c>
      <c r="J45" s="2" t="inlineStr">
        <is>
          <t>yes-&gt;yes</t>
        </is>
      </c>
    </row>
    <row r="46">
      <c r="A46" s="2" t="n">
        <v>413</v>
      </c>
      <c r="B46" s="2" t="inlineStr">
        <is>
          <t>q_79135</t>
        </is>
      </c>
      <c r="C46" s="2" t="inlineStr">
        <is>
          <t>Mathematics -&gt; Geometry -&gt; Plane Geometry -&gt; Angles</t>
        </is>
      </c>
      <c r="D46" s="2" t="n">
        <v>6</v>
      </c>
      <c r="E46" s="2" t="inlineStr">
        <is>
          <t>In the plane, circle \(\omega\) is externally tangent to circle \(\Omega\) at point \(P\). The center \(O\) of \(\Omega\</t>
        </is>
      </c>
      <c r="F46" s="2" t="inlineStr">
        <is>
          <t>unclear</t>
        </is>
      </c>
      <c r="G46" s="2" t="inlineStr">
        <is>
          <t>starts Power of Point with ratio; final angle merely asserted</t>
        </is>
      </c>
      <c r="H46" s="2" t="inlineStr">
        <is>
          <t>yes</t>
        </is>
      </c>
      <c r="I46" s="2" t="inlineStr">
        <is>
          <t>power of point with segment ratio, isosceles angle relation</t>
        </is>
      </c>
      <c r="J46" s="2" t="inlineStr">
        <is>
          <t>unclear-&gt;yes</t>
        </is>
      </c>
    </row>
    <row r="47">
      <c r="A47" s="2" t="n">
        <v>438</v>
      </c>
      <c r="B47" s="2" t="inlineStr">
        <is>
          <t>q_41453</t>
        </is>
      </c>
      <c r="C47" s="2" t="inlineStr">
        <is>
          <t>Mathematics -&gt; Applied Mathematics -&gt; Math Word Problems</t>
        </is>
      </c>
      <c r="D47" s="2" t="n">
        <v>7</v>
      </c>
      <c r="E47" s="2" t="inlineStr">
        <is>
          <t>Calculate the current price of a 2-year derivative contract with a maturity payoff of £90 × I(S2 &gt; £90), where the curre</t>
        </is>
      </c>
      <c r="F47" s="2" t="inlineStr">
        <is>
          <t>yes</t>
        </is>
      </c>
      <c r="G47" s="2" t="inlineStr">
        <is>
          <t>binomial tree, summed risk-neutral probabilities, single discounting</t>
        </is>
      </c>
      <c r="H47" s="2" t="inlineStr">
        <is>
          <t>yes</t>
        </is>
      </c>
      <c r="I47" s="2" t="inlineStr">
        <is>
          <t>digital payoff nodes, risk-neutral probabilities, single discounting</t>
        </is>
      </c>
      <c r="J47" s="2" t="inlineStr">
        <is>
          <t>yes-&gt;yes</t>
        </is>
      </c>
    </row>
    <row r="48">
      <c r="A48" s="2" t="n">
        <v>441</v>
      </c>
      <c r="B48" s="2" t="inlineStr">
        <is>
          <t>q_100763</t>
        </is>
      </c>
      <c r="C48" s="2" t="inlineStr">
        <is>
          <t>Mathematics -&gt; Geometry -&gt; Plane Geometry -&gt; Triangulations</t>
        </is>
      </c>
      <c r="D48" s="2" t="n">
        <v>5</v>
      </c>
      <c r="E48" s="2" t="inlineStr">
        <is>
          <t>In triangle $ABC,$ $E$ lies on $\overline{AC}$ such that $AE:EC = 2:1,$ and $F$ lies on $\overline{AB}$ such that $AF:FB</t>
        </is>
      </c>
      <c r="F48" s="2" t="inlineStr">
        <is>
          <t>yes</t>
        </is>
      </c>
      <c r="G48" s="2" t="inlineStr">
        <is>
          <t>two parametric paths equated, vertex coefficients solved</t>
        </is>
      </c>
      <c r="H48" s="2" t="inlineStr">
        <is>
          <t>no</t>
        </is>
      </c>
      <c r="I48" s="2" t="inlineStr">
        <is>
          <t>mass point balancing instead of parametric coefficient equating</t>
        </is>
      </c>
      <c r="J48" s="2" t="inlineStr">
        <is>
          <t>yes-&gt;no</t>
        </is>
      </c>
    </row>
    <row r="49">
      <c r="A49" s="2" t="n">
        <v>443</v>
      </c>
      <c r="B49" s="2" t="inlineStr">
        <is>
          <t>q_35367</t>
        </is>
      </c>
      <c r="C49" s="2" t="inlineStr">
        <is>
          <t>Mathematics -&gt; Precalculus -&gt; Limits</t>
        </is>
      </c>
      <c r="D49" s="2" t="n">
        <v>6</v>
      </c>
      <c r="E49" s="2" t="inlineStr">
        <is>
          <t>Evaluate the limit: \[ \lim_{n\to \infty} \left(\frac{(2n!)}{n!^2}\right)^{\frac{1}{4n}} \]</t>
        </is>
      </c>
      <c r="F49" s="2" t="inlineStr">
        <is>
          <t>yes</t>
        </is>
      </c>
      <c r="G49" s="2" t="inlineStr">
        <is>
          <t>Binomial recognition, Stirling, isolated exponential base constant</t>
        </is>
      </c>
      <c r="H49" s="2" t="inlineStr">
        <is>
          <t>yes</t>
        </is>
      </c>
      <c r="I49" s="2" t="inlineStr">
        <is>
          <t>Applied Stirling's approximation, treated sub-exponential root factors as one</t>
        </is>
      </c>
      <c r="J49" s="2" t="inlineStr">
        <is>
          <t>yes-&gt;yes</t>
        </is>
      </c>
    </row>
    <row r="50">
      <c r="A50" s="2" t="n">
        <v>457</v>
      </c>
      <c r="B50" s="2" t="inlineStr">
        <is>
          <t>q_5875</t>
        </is>
      </c>
      <c r="C50" s="2" t="inlineStr">
        <is>
          <t>Mathematics -&gt; Algebra -&gt; Abstract Algebra -&gt; Ring Theory</t>
        </is>
      </c>
      <c r="D50" s="2" t="n">
        <v>8</v>
      </c>
      <c r="E50" s="2" t="inlineStr">
        <is>
          <t>Let $A$ be a finite module over the ring $\mathbb{Z}[x_1, \ldots, x_d]$. Are the properties of being torsion-free and to</t>
        </is>
      </c>
      <c r="F50" s="2" t="inlineStr">
        <is>
          <t>yes</t>
        </is>
      </c>
      <c r="G50" s="2" t="inlineStr">
        <is>
          <t>classified Noetherian domain, embedded into K^n for equivalence</t>
        </is>
      </c>
      <c r="H50" s="2" t="inlineStr">
        <is>
          <t>unclear</t>
        </is>
      </c>
      <c r="I50" s="2" t="inlineStr">
        <is>
          <t>cites card hints but abandons denominator-clearing, misapplies counterexample</t>
        </is>
      </c>
      <c r="J50" s="2" t="inlineStr">
        <is>
          <t>yes-&gt;unclear</t>
        </is>
      </c>
    </row>
    <row r="51">
      <c r="A51" s="2" t="n">
        <v>460</v>
      </c>
      <c r="B51" s="2" t="inlineStr">
        <is>
          <t>q_37801</t>
        </is>
      </c>
      <c r="C51" s="2" t="inlineStr">
        <is>
          <t>Mathematics -&gt; Calculus -&gt; Integral Calculus -&gt; Applications of Integrals</t>
        </is>
      </c>
      <c r="D51" s="2" t="n">
        <v>8</v>
      </c>
      <c r="E51" s="2" t="inlineStr">
        <is>
          <t xml:space="preserve">Determine whether the condition \( \int_0^\infty f(x)^p e^{-x}dx &lt; \infty \) implies \( \int_0^\infty F(x)^p e^{-x}dx &lt; </t>
        </is>
      </c>
      <c r="F51" s="2" t="inlineStr">
        <is>
          <t>unclear</t>
        </is>
      </c>
      <c r="G51" s="2" t="inlineStr">
        <is>
          <t>started IBP, abandoned for discouraged pointwise Holder bounding</t>
        </is>
      </c>
      <c r="H51" s="2" t="inlineStr">
        <is>
          <t>yes</t>
        </is>
      </c>
      <c r="I51" s="2" t="inlineStr">
        <is>
          <t>integration by parts then Holder grouping</t>
        </is>
      </c>
      <c r="J51" s="2" t="inlineStr">
        <is>
          <t>unclear-&gt;yes</t>
        </is>
      </c>
    </row>
    <row r="52">
      <c r="A52" s="2" t="n">
        <v>463</v>
      </c>
      <c r="B52" s="2" t="inlineStr">
        <is>
          <t>q_9698</t>
        </is>
      </c>
      <c r="C52" s="2" t="inlineStr">
        <is>
          <t>Mathematics -&gt; Algebra -&gt; Abstract Algebra -&gt; Group Theory</t>
        </is>
      </c>
      <c r="D52" s="2" t="n">
        <v>9</v>
      </c>
      <c r="E52" s="2" t="inlineStr">
        <is>
          <t>Suppose $X$ is a continuum of dimension one and $Y$ is a subcontinuum of $X$. If the first Cech cohomology group $\check</t>
        </is>
      </c>
      <c r="F52" s="2" t="inlineStr">
        <is>
          <t>yes</t>
        </is>
      </c>
      <c r="G52" s="2" t="inlineStr">
        <is>
          <t>used injective induced map on first cohomology</t>
        </is>
      </c>
      <c r="H52" s="2" t="inlineStr">
        <is>
          <t>yes</t>
        </is>
      </c>
      <c r="I52" s="2" t="inlineStr">
        <is>
          <t>Invoked card's monotonicity of induced cohomology map</t>
        </is>
      </c>
      <c r="J52" s="2" t="inlineStr">
        <is>
          <t>yes-&gt;yes</t>
        </is>
      </c>
    </row>
    <row r="53">
      <c r="A53" s="2" t="n">
        <v>466</v>
      </c>
      <c r="B53" s="2" t="inlineStr">
        <is>
          <t>q_68125</t>
        </is>
      </c>
      <c r="C53" s="2" t="inlineStr">
        <is>
          <t>Mathematics -&gt; Calculus -&gt; Differential Calculus -&gt; Derivatives</t>
        </is>
      </c>
      <c r="D53" s="2" t="n">
        <v>6</v>
      </c>
      <c r="E53" s="2" t="inlineStr">
        <is>
          <t>Find the 100th derivative of \( f(x) = e^{x}\cos(x) \) evaluated at \( x = \pi \).</t>
        </is>
      </c>
      <c r="F53" s="2" t="inlineStr">
        <is>
          <t>yes</t>
        </is>
      </c>
      <c r="G53" s="2" t="inlineStr">
        <is>
          <t>complexified to e^{(1+i)x}, polar form for (1+i)^100</t>
        </is>
      </c>
      <c r="H53" s="2" t="inlineStr">
        <is>
          <t>yes</t>
        </is>
      </c>
      <c r="I53" s="2" t="inlineStr">
        <is>
          <t>complexification, polar-form power of (1+i)</t>
        </is>
      </c>
      <c r="J53" s="2" t="inlineStr">
        <is>
          <t>yes-&gt;yes</t>
        </is>
      </c>
    </row>
    <row r="54">
      <c r="A54" s="2" t="n">
        <v>475</v>
      </c>
      <c r="B54" s="2" t="inlineStr">
        <is>
          <t>q_14197</t>
        </is>
      </c>
      <c r="C54" s="2" t="inlineStr">
        <is>
          <t>Mathematics -&gt; Differential Equations -&gt; Ordinary Differential Equations (ODEs)</t>
        </is>
      </c>
      <c r="D54" s="2" t="n">
        <v>6</v>
      </c>
      <c r="E54" s="2" t="inlineStr">
        <is>
          <t>Determine the values of \(a\) for which the system \(X' = AX\), where \(A = \begin{pmatrix} a &amp; 1 \\ 2a &amp; 2 \end{pmatrix</t>
        </is>
      </c>
      <c r="F54" s="2" t="inlineStr">
        <is>
          <t>yes</t>
        </is>
      </c>
      <c r="G54" s="2" t="inlineStr">
        <is>
          <t>eigenvalue trace analysis, bifurcation where trace zero</t>
        </is>
      </c>
      <c r="H54" s="2" t="inlineStr">
        <is>
          <t>yes</t>
        </is>
      </c>
      <c r="I54" s="2" t="inlineStr">
        <is>
          <t>eigenvalue analysis, bifurcation where eigenvalue crosses zero</t>
        </is>
      </c>
      <c r="J54" s="2" t="inlineStr">
        <is>
          <t>yes-&gt;yes</t>
        </is>
      </c>
    </row>
    <row r="55">
      <c r="A55" s="2" t="n">
        <v>487</v>
      </c>
      <c r="B55" s="2" t="inlineStr">
        <is>
          <t>q_1912</t>
        </is>
      </c>
      <c r="C55" s="2" t="inlineStr">
        <is>
          <t>Mathematics -&gt; Applied Mathematics -&gt; Statistics -&gt; Probability -&gt; Other</t>
        </is>
      </c>
      <c r="D55" s="2" t="n">
        <v>8.5</v>
      </c>
      <c r="E55" s="2" t="inlineStr">
        <is>
          <t>Is the following inequality true for independent zero mean random elements in a separable Hilbert space $\mathbb{H}$? Gi</t>
        </is>
      </c>
      <c r="F55" s="2" t="inlineStr">
        <is>
          <t>yes</t>
        </is>
      </c>
      <c r="G55" s="2" t="inlineStr">
        <is>
          <t>invoked type-2 property and Pinelis extension</t>
        </is>
      </c>
      <c r="H55" s="2" t="inlineStr">
        <is>
          <t>yes</t>
        </is>
      </c>
      <c r="I55" s="2" t="inlineStr">
        <is>
          <t>invokes Pinelis/2-smooth Hilbert space concentration bound</t>
        </is>
      </c>
      <c r="J55" s="2" t="inlineStr">
        <is>
          <t>yes-&gt;yes</t>
        </is>
      </c>
    </row>
    <row r="56">
      <c r="A56" s="2" t="n">
        <v>500</v>
      </c>
      <c r="B56" s="2" t="inlineStr">
        <is>
          <t>q_42089</t>
        </is>
      </c>
      <c r="C56" s="2" t="inlineStr">
        <is>
          <t>Mathematics -&gt; Number Theory -&gt; Prime Numbers</t>
        </is>
      </c>
      <c r="D56" s="2" t="n">
        <v>6.5</v>
      </c>
      <c r="E56" s="2" t="inlineStr">
        <is>
          <t>Determine if there exists a sequence of prime numbers of the form $p_1$, $2p_1+1$, $2(2p_1+1)+1$, and so on, that contai</t>
        </is>
      </c>
      <c r="F56" s="2" t="inlineStr">
        <is>
          <t>yes</t>
        </is>
      </c>
      <c r="G56" s="2" t="inlineStr">
        <is>
          <t>Greedy search from prime 2 building explicit chain</t>
        </is>
      </c>
      <c r="H56" s="2" t="inlineStr">
        <is>
          <t>yes</t>
        </is>
      </c>
      <c r="I56" s="2" t="inlineStr">
        <is>
          <t>greedy search from small primes with mod-3 termination logic</t>
        </is>
      </c>
      <c r="J56" s="2" t="inlineStr">
        <is>
          <t>yes-&gt;yes</t>
        </is>
      </c>
    </row>
    <row r="57">
      <c r="A57" s="2" t="n">
        <v>504</v>
      </c>
      <c r="B57" s="2" t="inlineStr">
        <is>
          <t>q_64345</t>
        </is>
      </c>
      <c r="C57" s="2" t="inlineStr">
        <is>
          <t>Mathematics -&gt; Algebra -&gt; Intermediate Algebra -&gt; Other</t>
        </is>
      </c>
      <c r="D57" s="2" t="n">
        <v>5</v>
      </c>
      <c r="E57" s="2" t="inlineStr">
        <is>
          <t>Given the two infinite continued fractions $A$ and $B$ below, determine which is larger: $2A$ or $B$?  $$A = 1 +\dfrac{1</t>
        </is>
      </c>
      <c r="F57" s="2" t="inlineStr">
        <is>
          <t>yes</t>
        </is>
      </c>
      <c r="G57" s="2" t="inlineStr">
        <is>
          <t>Solved recursive quadratics, compared exact radical forms</t>
        </is>
      </c>
      <c r="H57" s="2" t="inlineStr">
        <is>
          <t>yes</t>
        </is>
      </c>
      <c r="I57" s="2" t="inlineStr">
        <is>
          <t>Recognized golden and silver ratios, compared radicals</t>
        </is>
      </c>
      <c r="J57" s="2" t="inlineStr">
        <is>
          <t>yes-&gt;yes</t>
        </is>
      </c>
    </row>
    <row r="58">
      <c r="A58" s="2" t="n">
        <v>506</v>
      </c>
      <c r="B58" s="2" t="inlineStr">
        <is>
          <t>q_62744</t>
        </is>
      </c>
      <c r="C58" s="2" t="inlineStr">
        <is>
          <t>Mathematics -&gt; Other</t>
        </is>
      </c>
      <c r="D58" s="2" t="n">
        <v>5.5</v>
      </c>
      <c r="E58" s="2" t="inlineStr">
        <is>
          <t>Given a power series \(\sum_{n=1}^{\infty}a_nx^n\) with radius of convergence \(R\), determine if the power series \(\su</t>
        </is>
      </c>
      <c r="F58" s="2" t="inlineStr">
        <is>
          <t>yes</t>
        </is>
      </c>
      <c r="G58" s="2" t="inlineStr">
        <is>
          <t>Cauchy-Hadamard, nth root of n tends to one</t>
        </is>
      </c>
      <c r="H58" s="2" t="inlineStr">
        <is>
          <t>yes</t>
        </is>
      </c>
      <c r="I58" s="2" t="inlineStr">
        <is>
          <t>Cauchy-Hadamard, nth root of 1/n tends to one</t>
        </is>
      </c>
      <c r="J58" s="2" t="inlineStr">
        <is>
          <t>yes-&gt;yes</t>
        </is>
      </c>
    </row>
    <row r="59">
      <c r="A59" s="2" t="n">
        <v>523</v>
      </c>
      <c r="B59" s="2" t="inlineStr">
        <is>
          <t>q_63997</t>
        </is>
      </c>
      <c r="C59" s="2" t="inlineStr">
        <is>
          <t>Mathematics -&gt; Calculus -&gt; Integral Calculus -&gt; Techniques of Integration -&gt; Single-variable</t>
        </is>
      </c>
      <c r="D59" s="2" t="n">
        <v>7</v>
      </c>
      <c r="E59" s="2" t="inlineStr">
        <is>
          <t>Determine the real number $a$ for which the integral \( \int_0^{\infty} \frac{1-\cos x}{x^a} \, dx \) converges.</t>
        </is>
      </c>
      <c r="F59" s="2" t="inlineStr">
        <is>
          <t>yes</t>
        </is>
      </c>
      <c r="G59" s="2" t="inlineStr">
        <is>
          <t>Split domain, Taylor near zero, p-test on tail</t>
        </is>
      </c>
      <c r="H59" s="2" t="inlineStr">
        <is>
          <t>yes</t>
        </is>
      </c>
      <c r="I59" s="2" t="inlineStr">
        <is>
          <t>split domain, Taylor at zero, p-test at infinity</t>
        </is>
      </c>
      <c r="J59" s="2" t="inlineStr">
        <is>
          <t>yes-&gt;yes</t>
        </is>
      </c>
    </row>
    <row r="60">
      <c r="A60" s="2" t="n">
        <v>545</v>
      </c>
      <c r="B60" s="2" t="inlineStr">
        <is>
          <t>q_10863</t>
        </is>
      </c>
      <c r="C60" s="2" t="inlineStr">
        <is>
          <t>Mathematics -&gt; Calculus -&gt; Integral Calculus -&gt; Applications of Integrals</t>
        </is>
      </c>
      <c r="D60" s="2" t="n">
        <v>8.5</v>
      </c>
      <c r="E60" s="2" t="inlineStr">
        <is>
          <t>Assume \( \int_{[0,1]} x^n \, d\mu = 0 \) for all non-negative integers \( n \). Is it true that the measure \( \mu \) i</t>
        </is>
      </c>
      <c r="F60" s="2" t="inlineStr">
        <is>
          <t>yes</t>
        </is>
      </c>
      <c r="G60" s="2" t="inlineStr">
        <is>
          <t>Weierstrass density plus Riesz representation argument</t>
        </is>
      </c>
      <c r="H60" s="2" t="inlineStr">
        <is>
          <t>yes</t>
        </is>
      </c>
      <c r="I60" s="2" t="inlineStr">
        <is>
          <t>Weierstrass density plus Riesz representation theorem</t>
        </is>
      </c>
      <c r="J60" s="2" t="inlineStr">
        <is>
          <t>yes-&gt;yes</t>
        </is>
      </c>
    </row>
    <row r="61">
      <c r="A61" s="2" t="n">
        <v>601</v>
      </c>
      <c r="B61" s="2" t="inlineStr">
        <is>
          <t>q_100246</t>
        </is>
      </c>
      <c r="C61" s="2" t="inlineStr">
        <is>
          <t>Mathematics -&gt; Geometry -&gt; Plane Geometry -&gt; Polygons</t>
        </is>
      </c>
      <c r="D61" s="2" t="n">
        <v>3</v>
      </c>
      <c r="E61" s="2" t="inlineStr">
        <is>
          <t>A certain ellipse is tangent to both the $x$-axis and the $y$-axis, and its foci are at $(2, -3 + \sqrt{5})$ and $(2, -3</t>
        </is>
      </c>
      <c r="F61" s="2" t="inlineStr">
        <is>
          <t>yes</t>
        </is>
      </c>
      <c r="G61" s="2" t="inlineStr">
        <is>
          <t>midpoint center, tangency distances give a,b, checked a2=b2+c2</t>
        </is>
      </c>
      <c r="H61" s="2" t="inlineStr">
        <is>
          <t>yes</t>
        </is>
      </c>
      <c r="I61" s="2" t="inlineStr">
        <is>
          <t>midpoint center, c, tangency distances, a²=b²+c² check</t>
        </is>
      </c>
      <c r="J61" s="2" t="inlineStr">
        <is>
          <t>yes-&gt;yes</t>
        </is>
      </c>
    </row>
    <row r="62">
      <c r="A62" s="2" t="n">
        <v>602</v>
      </c>
      <c r="B62" s="2" t="inlineStr">
        <is>
          <t>q_5649</t>
        </is>
      </c>
      <c r="C62" s="2" t="inlineStr">
        <is>
          <t>Mathematics -&gt; Algebra -&gt; Linear Algebra -&gt; Matrices</t>
        </is>
      </c>
      <c r="D62" s="2" t="n">
        <v>6.5</v>
      </c>
      <c r="E62" s="2" t="inlineStr">
        <is>
          <t>Let \( B \in \mathbb{R}^{n \times k} \) be a matrix with rank \( k \). Does there exist an invertible matrix \( A \in \m</t>
        </is>
      </c>
      <c r="F62" s="2" t="inlineStr">
        <is>
          <t>yes</t>
        </is>
      </c>
      <c r="G62" s="2" t="inlineStr">
        <is>
          <t>basis extension to invertible C, row-reduction existence argument</t>
        </is>
      </c>
      <c r="H62" s="2" t="inlineStr">
        <is>
          <t>yes</t>
        </is>
      </c>
      <c r="I62" s="2" t="inlineStr">
        <is>
          <t>Basis extension to invertible C, took its inverse</t>
        </is>
      </c>
      <c r="J62" s="2" t="inlineStr">
        <is>
          <t>yes-&gt;yes</t>
        </is>
      </c>
    </row>
    <row r="63">
      <c r="A63" s="2" t="n">
        <v>611</v>
      </c>
      <c r="B63" s="2" t="inlineStr">
        <is>
          <t>q_25416</t>
        </is>
      </c>
      <c r="C63" s="2" t="inlineStr">
        <is>
          <t>Mathematics -&gt; Applied Mathematics -&gt; Statistics -&gt; Probability -&gt; Other</t>
        </is>
      </c>
      <c r="D63" s="2" t="n">
        <v>4.5</v>
      </c>
      <c r="E63" s="2" t="inlineStr">
        <is>
          <t>Find the expectation of $X^4$ for an exponential random variable $X$ with parameter $a$.</t>
        </is>
      </c>
      <c r="F63" s="2" t="inlineStr">
        <is>
          <t>yes</t>
        </is>
      </c>
      <c r="G63" s="2" t="inlineStr">
        <is>
          <t>used general moment formula instead of manual integration</t>
        </is>
      </c>
      <c r="H63" s="2" t="inlineStr">
        <is>
          <t>yes</t>
        </is>
      </c>
      <c r="I63" s="2" t="inlineStr">
        <is>
          <t>Applied Gamma integral identity n!/a^(n+1)</t>
        </is>
      </c>
      <c r="J63" s="2" t="inlineStr">
        <is>
          <t>yes-&gt;yes</t>
        </is>
      </c>
    </row>
    <row r="64">
      <c r="A64" s="2" t="n">
        <v>612</v>
      </c>
      <c r="B64" s="2" t="inlineStr">
        <is>
          <t>q_62338</t>
        </is>
      </c>
      <c r="C64" s="2" t="inlineStr">
        <is>
          <t>Mathematics -&gt; Number Theory -&gt; Congruences</t>
        </is>
      </c>
      <c r="D64" s="2" t="n">
        <v>5.5</v>
      </c>
      <c r="E64" s="2" t="inlineStr">
        <is>
          <t>Find the remainder when \(3^{2017} - 1\) is divided by \(3^{403} - 1\).</t>
        </is>
      </c>
      <c r="F64" s="2" t="inlineStr">
        <is>
          <t>yes</t>
        </is>
      </c>
      <c r="G64" s="2" t="inlineStr">
        <is>
          <t>reduced exponent mod 403 via 3^403≡1 substitution</t>
        </is>
      </c>
      <c r="H64" s="2" t="inlineStr">
        <is>
          <t>yes</t>
        </is>
      </c>
      <c r="I64" s="2" t="inlineStr">
        <is>
          <t>reduced exponent mod 403 per Euclidean-exponent strategy</t>
        </is>
      </c>
      <c r="J64" s="2" t="inlineStr">
        <is>
          <t>yes-&gt;yes</t>
        </is>
      </c>
    </row>
    <row r="65">
      <c r="A65" s="2" t="n">
        <v>652</v>
      </c>
      <c r="B65" s="2" t="inlineStr">
        <is>
          <t>q_77330</t>
        </is>
      </c>
      <c r="C65" s="2" t="inlineStr">
        <is>
          <t>Mathematics -&gt; Calculus -&gt; Differential Calculus -&gt; Applications of Derivatives</t>
        </is>
      </c>
      <c r="D65" s="2" t="n">
        <v>7</v>
      </c>
      <c r="E65" s="2" t="inlineStr">
        <is>
          <t>Given a function $f:[0,\infty) \to [0,\infty)$ such that $|f(x) - f(y)| \le \frac{1}{2}|x - y|$, determine whether $f$ a</t>
        </is>
      </c>
      <c r="F65" s="2" t="inlineStr">
        <is>
          <t>yes</t>
        </is>
      </c>
      <c r="G65" s="2" t="inlineStr">
        <is>
          <t>Banach fixed point theorem on complete space, k=1/2 contraction</t>
        </is>
      </c>
      <c r="H65" s="2" t="inlineStr">
        <is>
          <t>yes</t>
        </is>
      </c>
      <c r="I65" s="2" t="inlineStr">
        <is>
          <t>applied Banach fixed point theorem with completeness</t>
        </is>
      </c>
      <c r="J65" s="2" t="inlineStr">
        <is>
          <t>yes-&gt;yes</t>
        </is>
      </c>
    </row>
    <row r="66">
      <c r="A66" s="2" t="n">
        <v>662</v>
      </c>
      <c r="B66" s="2" t="inlineStr">
        <is>
          <t>q_37853</t>
        </is>
      </c>
      <c r="C66" s="2" t="inlineStr">
        <is>
          <t>Mathematics -&gt; Geometry -&gt; Differential Geometry -&gt; Other</t>
        </is>
      </c>
      <c r="D66" s="2" t="n">
        <v>7.5</v>
      </c>
      <c r="E66" s="2" t="inlineStr">
        <is>
          <t>Let $X$ be a locally compact, Hausdorff space and $Y = X \cup \{\infty\}$ its one-point compactification. If $K$ is a co</t>
        </is>
      </c>
      <c r="F66" s="2" t="inlineStr">
        <is>
          <t>yes</t>
        </is>
      </c>
      <c r="G66" s="2" t="inlineStr">
        <is>
          <t>Density argument plus complement rule for infinity neighborhoods</t>
        </is>
      </c>
      <c r="H66" s="2" t="inlineStr">
        <is>
          <t>yes</t>
        </is>
      </c>
      <c r="I66" s="2" t="inlineStr">
        <is>
          <t>density argument plus complement-of-compact neighborhood form</t>
        </is>
      </c>
      <c r="J66" s="2" t="inlineStr">
        <is>
          <t>yes-&gt;yes</t>
        </is>
      </c>
    </row>
    <row r="67">
      <c r="A67" s="2" t="n">
        <v>666</v>
      </c>
      <c r="B67" s="2" t="inlineStr">
        <is>
          <t>q_3768</t>
        </is>
      </c>
      <c r="C67" s="2" t="inlineStr">
        <is>
          <t>Mathematics -&gt; Calculus -&gt; Integral Calculus -&gt; Techniques of Integration -&gt; Single-variable</t>
        </is>
      </c>
      <c r="D67" s="2" t="n">
        <v>6</v>
      </c>
      <c r="E67" s="2" t="inlineStr">
        <is>
          <t>Determine the values of \( x \) for which the series \( \sum_{n=1}^{\infty} \frac{(x-4)^{n^{2}}}{n!} \) converges.</t>
        </is>
      </c>
      <c r="F67" s="2" t="inlineStr">
        <is>
          <t>yes</t>
        </is>
      </c>
      <c r="G67" s="2" t="inlineStr">
        <is>
          <t>Ratio Test with three-regime base analysis and endpoint check</t>
        </is>
      </c>
      <c r="H67" s="2" t="inlineStr">
        <is>
          <t>unclear</t>
        </is>
      </c>
      <c r="I67" s="2" t="inlineStr">
        <is>
          <t>Started Ratio Test but no regime partition; limit collapsed</t>
        </is>
      </c>
      <c r="J67" s="2" t="inlineStr">
        <is>
          <t>yes-&gt;unclear</t>
        </is>
      </c>
    </row>
    <row r="68">
      <c r="A68" s="2" t="n">
        <v>675</v>
      </c>
      <c r="B68" s="2" t="inlineStr">
        <is>
          <t>q_96421</t>
        </is>
      </c>
      <c r="C68" s="2" t="inlineStr">
        <is>
          <t>Mathematics -&gt; Geometry -&gt; Plane Geometry -&gt; Triangulations</t>
        </is>
      </c>
      <c r="D68" s="2" t="n">
        <v>5</v>
      </c>
      <c r="E68" s="2" t="inlineStr">
        <is>
          <t>In triangle $ABC,$ $D,$ $E,$ and $F$ are points on sides $\overline{BC},$ $\overline{AC},$ and $\overline{AB},$ respecti</t>
        </is>
      </c>
      <c r="F68" s="2" t="inlineStr">
        <is>
          <t>yes</t>
        </is>
      </c>
      <c r="G68" s="2" t="inlineStr">
        <is>
          <t>Directly applied Routh's Theorem formula</t>
        </is>
      </c>
      <c r="H68" s="2" t="inlineStr">
        <is>
          <t>yes</t>
        </is>
      </c>
      <c r="I68" s="2" t="inlineStr">
        <is>
          <t>applied Routh's Theorem formula directly</t>
        </is>
      </c>
      <c r="J68" s="2" t="inlineStr">
        <is>
          <t>yes-&gt;yes</t>
        </is>
      </c>
    </row>
    <row r="69">
      <c r="A69" s="2" t="n">
        <v>688</v>
      </c>
      <c r="B69" s="2" t="inlineStr">
        <is>
          <t>q_49847</t>
        </is>
      </c>
      <c r="C69" s="2" t="inlineStr">
        <is>
          <t>Mathematics -&gt; Precalculus -&gt; Trigonometric Functions</t>
        </is>
      </c>
      <c r="D69" s="2" t="n">
        <v>4.5</v>
      </c>
      <c r="E69" s="2" t="inlineStr">
        <is>
          <t>Evaluate the expression: \( \sin\dfrac{2\pi}{11}-\sin\dfrac{\pi}{11}-\sin\dfrac{3\pi}{11} \)</t>
        </is>
      </c>
      <c r="F69" s="2" t="inlineStr">
        <is>
          <t>yes</t>
        </is>
      </c>
      <c r="G69" s="2" t="inlineStr">
        <is>
          <t>roots-of-unity imaginary-parts symmetry argument</t>
        </is>
      </c>
      <c r="H69" s="2" t="inlineStr">
        <is>
          <t>yes</t>
        </is>
      </c>
      <c r="I69" s="2" t="inlineStr">
        <is>
          <t>roots-of-unity representation using sum-zero property</t>
        </is>
      </c>
      <c r="J69" s="2" t="inlineStr">
        <is>
          <t>yes-&gt;yes</t>
        </is>
      </c>
    </row>
    <row r="70">
      <c r="A70" s="2" t="n">
        <v>727</v>
      </c>
      <c r="B70" s="2" t="inlineStr">
        <is>
          <t>q_89068</t>
        </is>
      </c>
      <c r="C70" s="2" t="inlineStr">
        <is>
          <t>Mathematics -&gt; Geometry -&gt; Plane Geometry -&gt; Triangulations</t>
        </is>
      </c>
      <c r="D70" s="2" t="n">
        <v>5</v>
      </c>
      <c r="E70" s="2" t="inlineStr">
        <is>
          <t>In the given figure, \(\angle ABE = \angle DCF = 90^{\circ}\), \(AB = 3\), \(DC = 5\), \(BC = 6\), and \(BE = EF = FC\).</t>
        </is>
      </c>
      <c r="F70" s="2" t="inlineStr">
        <is>
          <t>yes</t>
        </is>
      </c>
      <c r="G70" s="2" t="inlineStr">
        <is>
          <t>Coordinates, line intersection, Shoelace areas as prescribed</t>
        </is>
      </c>
      <c r="H70" s="2" t="inlineStr">
        <is>
          <t>yes</t>
        </is>
      </c>
      <c r="I70" s="2" t="inlineStr">
        <is>
          <t>coordinates, line equations, intersection, fractional shoelace areas</t>
        </is>
      </c>
      <c r="J70" s="2" t="inlineStr">
        <is>
          <t>yes-&gt;yes</t>
        </is>
      </c>
    </row>
    <row r="71">
      <c r="A71" s="2" t="n">
        <v>733</v>
      </c>
      <c r="B71" s="2" t="inlineStr">
        <is>
          <t>q_77998</t>
        </is>
      </c>
      <c r="C71" s="2" t="inlineStr">
        <is>
          <t>Mathematics -&gt; Algebra -&gt; Algebra -&gt; Polynomial Operations</t>
        </is>
      </c>
      <c r="D71" s="2" t="n">
        <v>6</v>
      </c>
      <c r="E71" s="2" t="inlineStr">
        <is>
          <t xml:space="preserve">Consider the polynomial \( W_n(z) \) defined as follows: \[ W_n(z)=\sum_{k=1}^n kz^{k-1} \]  Determine if the statement </t>
        </is>
      </c>
      <c r="F71" s="2" t="inlineStr">
        <is>
          <t>yes</t>
        </is>
      </c>
      <c r="G71" s="2" t="inlineStr">
        <is>
          <t>invokes Enestrom-Kakeya bound plus boundary exclusion check</t>
        </is>
      </c>
      <c r="H71" s="2" t="inlineStr">
        <is>
          <t>yes</t>
        </is>
      </c>
      <c r="I71" s="2" t="inlineStr">
        <is>
          <t>closed-form rational conversion, boundary testing with triangle inequality</t>
        </is>
      </c>
      <c r="J71" s="2" t="inlineStr">
        <is>
          <t>yes-&gt;yes</t>
        </is>
      </c>
    </row>
    <row r="72">
      <c r="A72" s="2" t="n">
        <v>747</v>
      </c>
      <c r="B72" s="2" t="inlineStr">
        <is>
          <t>q_101678</t>
        </is>
      </c>
      <c r="C72" s="2" t="inlineStr">
        <is>
          <t>Mathematics -&gt; Geometry -&gt; Plane Geometry -&gt; Angles</t>
        </is>
      </c>
      <c r="D72" s="2" t="n">
        <v>5</v>
      </c>
      <c r="E72" s="2" t="inlineStr">
        <is>
          <t xml:space="preserve">The trisectors of angles $B$ and $C$ of scalene triangle $ABC$ meet at points $P$ and $Q$, as shown. Angle $A$ measures </t>
        </is>
      </c>
      <c r="F72" s="2" t="inlineStr">
        <is>
          <t>yes</t>
        </is>
      </c>
      <c r="G72" s="2" t="inlineStr">
        <is>
          <t>Trisector 3x decomposition with sub-triangle angle sums</t>
        </is>
      </c>
      <c r="H72" s="2" t="inlineStr">
        <is>
          <t>unclear</t>
        </is>
      </c>
      <c r="I72" s="2" t="inlineStr">
        <is>
          <t>trisector setup, but resolves via garbled 360-degree argument</t>
        </is>
      </c>
      <c r="J72" s="2" t="inlineStr">
        <is>
          <t>yes-&gt;unclear</t>
        </is>
      </c>
    </row>
    <row r="73">
      <c r="A73" s="2" t="n">
        <v>765</v>
      </c>
      <c r="B73" s="2" t="inlineStr">
        <is>
          <t>q_10951</t>
        </is>
      </c>
      <c r="C73" s="2" t="inlineStr">
        <is>
          <t>Mathematics -&gt; Number Theory -&gt; Congruences</t>
        </is>
      </c>
      <c r="D73" s="2" t="n">
        <v>5.5</v>
      </c>
      <c r="E73" s="2" t="inlineStr">
        <is>
          <t>Find the integer solution to the equation $x^{17} \equiv 17 \pmod{23}$. What is the value of $x$?</t>
        </is>
      </c>
      <c r="F73" s="2" t="inlineStr">
        <is>
          <t>yes</t>
        </is>
      </c>
      <c r="G73" s="2" t="inlineStr">
        <is>
          <t>inverted exponent mod 22 via Euclid, successive squaring</t>
        </is>
      </c>
      <c r="H73" s="2" t="inlineStr">
        <is>
          <t>yes</t>
        </is>
      </c>
      <c r="I73" s="2" t="inlineStr">
        <is>
          <t>inverted exponent mod 22 via Euclid, squaring verification</t>
        </is>
      </c>
      <c r="J73" s="2" t="inlineStr">
        <is>
          <t>yes-&gt;yes</t>
        </is>
      </c>
    </row>
    <row r="74">
      <c r="A74" s="2" t="n">
        <v>781</v>
      </c>
      <c r="B74" s="2" t="inlineStr">
        <is>
          <t>q_99139</t>
        </is>
      </c>
      <c r="C74" s="2" t="inlineStr">
        <is>
          <t>Mathematics -&gt; Algebra -&gt; Algebra -&gt; Equations and Inequalities</t>
        </is>
      </c>
      <c r="D74" s="2" t="n">
        <v>5</v>
      </c>
      <c r="E74" s="2" t="inlineStr">
        <is>
          <t>What is the sum of all integer solutions to $1&lt;(x-2)^2&lt;25$?</t>
        </is>
      </c>
      <c r="F74" s="2" t="inlineStr">
        <is>
          <t>no</t>
        </is>
      </c>
      <c r="G74" s="2" t="inlineStr">
        <is>
          <t>direct interval enumeration and addition, no symmetric-sum strategy</t>
        </is>
      </c>
      <c r="H74" s="2" t="inlineStr">
        <is>
          <t>unclear</t>
        </is>
      </c>
      <c r="I74" s="2" t="inlineStr">
        <is>
          <t>absolute-value conversion started; second case loops, never finishes</t>
        </is>
      </c>
      <c r="J74" s="2" t="inlineStr">
        <is>
          <t>no-&gt;unclear</t>
        </is>
      </c>
    </row>
    <row r="75">
      <c r="A75" s="2" t="n">
        <v>790</v>
      </c>
      <c r="B75" s="2" t="inlineStr">
        <is>
          <t>q_456</t>
        </is>
      </c>
      <c r="C75" s="2" t="inlineStr">
        <is>
          <t>Mathematics -&gt; Algebra -&gt; Linear Algebra -&gt; Vectors</t>
        </is>
      </c>
      <c r="D75" s="2" t="n">
        <v>6.5</v>
      </c>
      <c r="E75" s="2" t="inlineStr">
        <is>
          <t>Consider a probability space $(\Omega, \mathcal{A}, P)$ and a real Hilbert space $\mathcal{H}$. Let $X: \Omega \to \math</t>
        </is>
      </c>
      <c r="F75" s="2" t="inlineStr">
        <is>
          <t>yes</t>
        </is>
      </c>
      <c r="G75" s="2" t="inlineStr">
        <is>
          <t>triangle inequality via ball center, then squared bound</t>
        </is>
      </c>
      <c r="H75" s="2" t="inlineStr">
        <is>
          <t>yes</t>
        </is>
      </c>
      <c r="I75" s="2" t="inlineStr">
        <is>
          <t>pointwise triangle inequality via center, then squared</t>
        </is>
      </c>
      <c r="J75" s="2" t="inlineStr">
        <is>
          <t>yes-&gt;yes</t>
        </is>
      </c>
    </row>
    <row r="76">
      <c r="A76" s="2" t="n">
        <v>792</v>
      </c>
      <c r="B76" s="2" t="inlineStr">
        <is>
          <t>q_18729</t>
        </is>
      </c>
      <c r="C76" s="2" t="inlineStr">
        <is>
          <t>Mathematics -&gt; Number Theory -&gt; Divisibility</t>
        </is>
      </c>
      <c r="D76" s="2" t="n">
        <v>5.5</v>
      </c>
      <c r="E76" s="2" t="inlineStr">
        <is>
          <t>In a multiplication problem, all 9 digits from 1 to 9 are used exactly once, represented by asterisks. Each number in th</t>
        </is>
      </c>
      <c r="F76" s="2" t="inlineStr">
        <is>
          <t>unclear</t>
        </is>
      </c>
      <c r="G76" s="2" t="inlineStr">
        <is>
          <t>digit-sum invariant started, conclusion asserted without valid completion</t>
        </is>
      </c>
      <c r="H76" s="2" t="inlineStr">
        <is>
          <t>unclear</t>
        </is>
      </c>
      <c r="I76" s="2" t="inlineStr">
        <is>
          <t>states digit-sum rule, then unprincipled contradictory trials</t>
        </is>
      </c>
      <c r="J76" s="2" t="inlineStr">
        <is>
          <t>unclear-&gt;unclear</t>
        </is>
      </c>
    </row>
    <row r="77">
      <c r="A77" s="2" t="n">
        <v>804</v>
      </c>
      <c r="B77" s="2" t="inlineStr">
        <is>
          <t>q_21309</t>
        </is>
      </c>
      <c r="C77" s="2" t="inlineStr">
        <is>
          <t>Mathematics -&gt; Applied Mathematics -&gt; Statistics -&gt; Probability -&gt; Other</t>
        </is>
      </c>
      <c r="D77" s="2" t="n">
        <v>8.5</v>
      </c>
      <c r="E77" s="2" t="inlineStr">
        <is>
          <t>Does there exist a function \( p:2^{\Bbb N}\rightarrow [0,1] \) such that \( p \) is finitely additive, i.e., \( p(A_1\c</t>
        </is>
      </c>
      <c r="F77" s="2" t="inlineStr">
        <is>
          <t>yes</t>
        </is>
      </c>
      <c r="G77" s="2" t="inlineStr">
        <is>
          <t>built 0-1 measure from non-principal ultrafilter, singleton sum argument</t>
        </is>
      </c>
      <c r="H77" s="2" t="inlineStr">
        <is>
          <t>yes</t>
        </is>
      </c>
      <c r="I77" s="2" t="inlineStr">
        <is>
          <t>non-principal ultrafilter 0-1 measure construction</t>
        </is>
      </c>
      <c r="J77" s="2" t="inlineStr">
        <is>
          <t>yes-&gt;yes</t>
        </is>
      </c>
    </row>
    <row r="78">
      <c r="A78" s="2" t="n">
        <v>809</v>
      </c>
      <c r="B78" s="2" t="inlineStr">
        <is>
          <t>q_56404</t>
        </is>
      </c>
      <c r="C78" s="2" t="inlineStr">
        <is>
          <t>Mathematics -&gt; Discrete Mathematics -&gt; Combinatorics</t>
        </is>
      </c>
      <c r="D78" s="2" t="n">
        <v>6</v>
      </c>
      <c r="E78" s="2" t="inlineStr">
        <is>
          <t>Calculate the number of plane partitions that fit into a 4 x 2 x 3 box using MacMahon's formula.</t>
        </is>
      </c>
      <c r="F78" s="2" t="inlineStr">
        <is>
          <t>no</t>
        </is>
      </c>
      <c r="G78" s="2" t="inlineStr">
        <is>
          <t>direct product expansion, no frequency grouping or exponent tracking</t>
        </is>
      </c>
      <c r="H78" s="2" t="inlineStr">
        <is>
          <t>unclear</t>
        </is>
      </c>
      <c r="I78" s="2" t="inlineStr">
        <is>
          <t>Wrote full product, asserted telescoping result without executing strategy</t>
        </is>
      </c>
      <c r="J78" s="2" t="inlineStr">
        <is>
          <t>no-&gt;unclear</t>
        </is>
      </c>
    </row>
    <row r="79">
      <c r="A79" s="2" t="n">
        <v>823</v>
      </c>
      <c r="B79" s="2" t="inlineStr">
        <is>
          <t>q_5842</t>
        </is>
      </c>
      <c r="C79" s="2" t="inlineStr">
        <is>
          <t>Mathematics -&gt; Calculus -&gt; Integral Calculus -&gt; Applications of Integrals</t>
        </is>
      </c>
      <c r="D79" s="2" t="n">
        <v>5</v>
      </c>
      <c r="E79" s="2" t="inlineStr">
        <is>
          <t>Calculate the volume of the solid that lies below the plane \( z = x + 3y \) and above the region defined by the ellipse</t>
        </is>
      </c>
      <c r="F79" s="2" t="inlineStr">
        <is>
          <t>yes</t>
        </is>
      </c>
      <c r="G79" s="2" t="inlineStr">
        <is>
          <t>scaled ellipse to unit circle, Jacobian 20, polar coordinates</t>
        </is>
      </c>
      <c r="H79" s="2" t="inlineStr">
        <is>
          <t>yes</t>
        </is>
      </c>
      <c r="I79" s="2" t="inlineStr">
        <is>
          <t>scaled ellipse to unit circle with Jacobian 20</t>
        </is>
      </c>
      <c r="J79" s="2" t="inlineStr">
        <is>
          <t>yes-&gt;yes</t>
        </is>
      </c>
    </row>
    <row r="80">
      <c r="A80" s="2" t="n">
        <v>829</v>
      </c>
      <c r="B80" s="2" t="inlineStr">
        <is>
          <t>q_9058</t>
        </is>
      </c>
      <c r="C80" s="2" t="inlineStr">
        <is>
          <t>Mathematics -&gt; Calculus -&gt; Integral Calculus -&gt; Techniques of Integration -&gt; Single-variable</t>
        </is>
      </c>
      <c r="D80" s="2" t="n">
        <v>5.5</v>
      </c>
      <c r="E80" s="2" t="inlineStr">
        <is>
          <t>Determine whether the improper integral \( \int_{-\infty}^\infty x^3e^{-x^4}dx \) is convergent or divergent. If it is c</t>
        </is>
      </c>
      <c r="F80" s="2" t="inlineStr">
        <is>
          <t>yes</t>
        </is>
      </c>
      <c r="G80" s="2" t="inlineStr">
        <is>
          <t>odd parity, substitution verified convergence, concluded zero</t>
        </is>
      </c>
      <c r="H80" s="2" t="inlineStr">
        <is>
          <t>unclear</t>
        </is>
      </c>
      <c r="I80" s="2" t="inlineStr">
        <is>
          <t>identified odd parity but doubled halves instead, contradicting parity strategy</t>
        </is>
      </c>
      <c r="J80" s="2" t="inlineStr">
        <is>
          <t>yes-&gt;unclear</t>
        </is>
      </c>
    </row>
    <row r="81">
      <c r="A81" s="2" t="n">
        <v>849</v>
      </c>
      <c r="B81" s="2" t="inlineStr">
        <is>
          <t>q_22249</t>
        </is>
      </c>
      <c r="C81" s="2" t="inlineStr">
        <is>
          <t>Mathematics -&gt; Calculus -&gt; Integral Calculus -&gt; Applications of Integrals</t>
        </is>
      </c>
      <c r="D81" s="2" t="n">
        <v>6.5</v>
      </c>
      <c r="E81" s="2" t="inlineStr">
        <is>
          <t>Find the maximum value of \( \int_0^1 (f(x))^3 \, dx \) given the following conditions on the function \( f(x) \):  - \(</t>
        </is>
      </c>
      <c r="F81" s="2" t="inlineStr">
        <is>
          <t>unclear</t>
        </is>
      </c>
      <c r="G81" s="2" t="inlineStr">
        <is>
          <t>bang-bang started; two-value optimization skipped, answer asserted</t>
        </is>
      </c>
      <c r="H81" s="2" t="inlineStr">
        <is>
          <t>unclear</t>
        </is>
      </c>
      <c r="I81" s="2" t="inlineStr">
        <is>
          <t>bang-bang with only ±1; optimization skipped, answer asserted</t>
        </is>
      </c>
      <c r="J81" s="2" t="inlineStr">
        <is>
          <t>unclear-&gt;unclear</t>
        </is>
      </c>
    </row>
    <row r="82">
      <c r="A82" s="2" t="n">
        <v>867</v>
      </c>
      <c r="B82" s="2" t="inlineStr">
        <is>
          <t>q_67613</t>
        </is>
      </c>
      <c r="C82" s="2" t="inlineStr">
        <is>
          <t>Mathematics -&gt; Algebra -&gt; Abstract Algebra -&gt; Category Theory</t>
        </is>
      </c>
      <c r="D82" s="2" t="n">
        <v>9</v>
      </c>
      <c r="E82" s="2" t="inlineStr">
        <is>
          <t>Does the inclusion functor $Haus \to Top$, where $Haus$ is the category of Hausdorff spaces and $Top$ is the category of</t>
        </is>
      </c>
      <c r="F82" s="2" t="inlineStr">
        <is>
          <t>yes</t>
        </is>
      </c>
      <c r="G82" s="2" t="inlineStr">
        <is>
          <t>built Hausdorff reflection via maximal quotient construction</t>
        </is>
      </c>
      <c r="H82" s="2" t="inlineStr">
        <is>
          <t>yes</t>
        </is>
      </c>
      <c r="I82" s="2" t="inlineStr">
        <is>
          <t>maximal quotient reflector with separation lifting</t>
        </is>
      </c>
      <c r="J82" s="2" t="inlineStr">
        <is>
          <t>yes-&gt;yes</t>
        </is>
      </c>
    </row>
    <row r="83">
      <c r="A83" s="2" t="n">
        <v>873</v>
      </c>
      <c r="B83" s="2" t="inlineStr">
        <is>
          <t>q_99563</t>
        </is>
      </c>
      <c r="C83" s="2" t="inlineStr">
        <is>
          <t>Mathematics -&gt; Algebra -&gt; Intermediate Algebra -&gt; Other</t>
        </is>
      </c>
      <c r="D83" s="2" t="n">
        <v>5</v>
      </c>
      <c r="E83" s="2" t="inlineStr">
        <is>
          <t>If $p, q,$ and $r$ are three non-zero integers such that $p + q + r = 26$ and\[\frac{1}{p} + \frac{1}{q} + \frac{1}{r} +</t>
        </is>
      </c>
      <c r="F83" s="2" t="inlineStr">
        <is>
          <t>yes</t>
        </is>
      </c>
      <c r="G83" s="2" t="inlineStr">
        <is>
          <t>symmetric polynomials, (p-1)(q-1)(r-1)=385 factoring trick</t>
        </is>
      </c>
      <c r="H83" s="2" t="inlineStr">
        <is>
          <t>yes</t>
        </is>
      </c>
      <c r="I83" s="2" t="inlineStr">
        <is>
          <t>cleared denominators, (p-1)(q-1)(r-1)=336 factoring with sum check</t>
        </is>
      </c>
      <c r="J83" s="2" t="inlineStr">
        <is>
          <t>yes-&gt;yes</t>
        </is>
      </c>
    </row>
    <row r="84">
      <c r="A84" s="2" t="n">
        <v>888</v>
      </c>
      <c r="B84" s="2" t="inlineStr">
        <is>
          <t>q_65261</t>
        </is>
      </c>
      <c r="C84" s="2" t="inlineStr">
        <is>
          <t>Mathematics -&gt; Algebra -&gt; Abstract Algebra -&gt; Other</t>
        </is>
      </c>
      <c r="D84" s="2" t="n">
        <v>6</v>
      </c>
      <c r="E84" s="2" t="inlineStr">
        <is>
          <t>Let $X$ be a subset of $\mathbb{R}$ containing no open intervals. Is the set $X$ totally disconnected?</t>
        </is>
      </c>
      <c r="F84" s="2" t="inlineStr">
        <is>
          <t>yes</t>
        </is>
      </c>
      <c r="G84" s="2" t="inlineStr">
        <is>
          <t>gap-between-points separation criterion applied</t>
        </is>
      </c>
      <c r="H84" s="2" t="inlineStr">
        <is>
          <t>yes</t>
        </is>
      </c>
      <c r="I84" s="2" t="inlineStr">
        <is>
          <t>gap identification between points using no-open-interval property</t>
        </is>
      </c>
      <c r="J84" s="2" t="inlineStr">
        <is>
          <t>yes-&gt;yes</t>
        </is>
      </c>
    </row>
    <row r="85">
      <c r="A85" s="2" t="n">
        <v>889</v>
      </c>
      <c r="B85" s="2" t="inlineStr">
        <is>
          <t>q_8774</t>
        </is>
      </c>
      <c r="C85" s="2" t="inlineStr">
        <is>
          <t>Mathematics -&gt; Applied Mathematics -&gt; Statistics -&gt; Probability -&gt; Other</t>
        </is>
      </c>
      <c r="D85" s="2" t="n">
        <v>7</v>
      </c>
      <c r="E85" s="2" t="inlineStr">
        <is>
          <t>Given that $Z = 1$, $Y$ is a Rademacher random variable, $W \sim N(0, 1)$, and $X = WY$, determine if $X$ is conditional</t>
        </is>
      </c>
      <c r="F85" s="2" t="inlineStr">
        <is>
          <t>yes</t>
        </is>
      </c>
      <c r="G85" s="2" t="inlineStr">
        <is>
          <t>constant-Z reduction, checked f(x|y) invariance and factorization</t>
        </is>
      </c>
      <c r="H85" s="2" t="inlineStr">
        <is>
          <t>yes</t>
        </is>
      </c>
      <c r="I85" s="2" t="inlineStr">
        <is>
          <t>showed f(x|y) invariant across y, then factorized</t>
        </is>
      </c>
      <c r="J85" s="2" t="inlineStr">
        <is>
          <t>yes-&gt;yes</t>
        </is>
      </c>
    </row>
    <row r="86">
      <c r="A86" s="2" t="n">
        <v>910</v>
      </c>
      <c r="B86" s="2" t="inlineStr">
        <is>
          <t>q_91247</t>
        </is>
      </c>
      <c r="C86" s="2" t="inlineStr">
        <is>
          <t>Mathematics -&gt; Algebra -&gt; Intermediate Algebra -&gt; Other</t>
        </is>
      </c>
      <c r="D86" s="2" t="n">
        <v>6.5</v>
      </c>
      <c r="E86" s="2" t="inlineStr">
        <is>
          <t>Prove that the expression \( A = \frac{(b-c)^2}{(a-b)(a-c)} + \frac{(c-a)^2}{(b-c)(b-a)} + \frac{(a-b)^2}{(c-a)(c-b)} \)</t>
        </is>
      </c>
      <c r="F86" s="2" t="inlineStr">
        <is>
          <t>unclear</t>
        </is>
      </c>
      <c r="G86" s="2" t="inlineStr">
        <is>
          <t>numeric probe done; decomposition proof asserted, not executed</t>
        </is>
      </c>
      <c r="H86" s="2" t="inlineStr">
        <is>
          <t>unclear</t>
        </is>
      </c>
      <c r="I86" s="2" t="inlineStr">
        <is>
          <t>brute expansion, not decomposition; numeric probe gave answer</t>
        </is>
      </c>
      <c r="J86" s="2" t="inlineStr">
        <is>
          <t>unclear-&gt;unclear</t>
        </is>
      </c>
    </row>
    <row r="87">
      <c r="A87" s="2" t="n">
        <v>921</v>
      </c>
      <c r="B87" s="2" t="inlineStr">
        <is>
          <t>q_45237</t>
        </is>
      </c>
      <c r="C87" s="2" t="inlineStr">
        <is>
          <t>Mathematics -&gt; Calculus -&gt; Integral Calculus -&gt; Techniques of Integration -&gt; Single-variable</t>
        </is>
      </c>
      <c r="D87" s="2" t="n">
        <v>5.5</v>
      </c>
      <c r="E87" s="2" t="inlineStr">
        <is>
          <t>Evaluate the integral \( \int_{0}^{2022} (x^2 - \lfloor x \rfloor \lceil x \rceil) \, dx \).</t>
        </is>
      </c>
      <c r="F87" s="2" t="inlineStr">
        <is>
          <t>yes</t>
        </is>
      </c>
      <c r="G87" s="2" t="inlineStr">
        <is>
          <t>Unit-interval partition, k(k+1) substitution, 1/3 per interval</t>
        </is>
      </c>
      <c r="H87" s="2" t="inlineStr">
        <is>
          <t>yes</t>
        </is>
      </c>
      <c r="I87" s="2" t="inlineStr">
        <is>
          <t>unit-interval partition, constant 1/3 per interval summed</t>
        </is>
      </c>
      <c r="J87" s="2" t="inlineStr">
        <is>
          <t>yes-&gt;yes</t>
        </is>
      </c>
    </row>
    <row r="88">
      <c r="A88" s="2" t="n">
        <v>934</v>
      </c>
      <c r="B88" s="2" t="inlineStr">
        <is>
          <t>q_61609</t>
        </is>
      </c>
      <c r="C88" s="2" t="inlineStr">
        <is>
          <t>Mathematics -&gt; Number Theory -&gt; Factorization</t>
        </is>
      </c>
      <c r="D88" s="2" t="n">
        <v>7.5</v>
      </c>
      <c r="E88" s="2" t="inlineStr">
        <is>
          <t>Given a prime number \(q \equiv 1 \pmod{4}\) and an integer \(k \equiv 1 \pmod{4}\), determine if it is possible for bot</t>
        </is>
      </c>
      <c r="F88" s="2" t="inlineStr">
        <is>
          <t>yes</t>
        </is>
      </c>
      <c r="G88" s="2" t="inlineStr">
        <is>
          <t>k=1 substitution, q=2b²−1 search, found 17</t>
        </is>
      </c>
      <c r="H88" s="2" t="inlineStr">
        <is>
          <t>unclear</t>
        </is>
      </c>
      <c r="I88" s="2" t="inlineStr">
        <is>
          <t>starts smallest-case search, skips algebraic form, premature impossibility</t>
        </is>
      </c>
      <c r="J88" s="2" t="inlineStr">
        <is>
          <t>yes-&gt;unclear</t>
        </is>
      </c>
    </row>
    <row r="89">
      <c r="A89" s="2" t="n">
        <v>954</v>
      </c>
      <c r="B89" s="2" t="inlineStr">
        <is>
          <t>q_26264</t>
        </is>
      </c>
      <c r="C89" s="2" t="inlineStr">
        <is>
          <t>Mathematics -&gt; Discrete Mathematics -&gt; Graph Theory</t>
        </is>
      </c>
      <c r="D89" s="2" t="n">
        <v>7.5</v>
      </c>
      <c r="E89" s="2" t="inlineStr">
        <is>
          <t>Can every finite graph be embedded in \(\mathbb{R}^3\)?</t>
        </is>
      </c>
      <c r="F89" s="2" t="inlineStr">
        <is>
          <t>yes</t>
        </is>
      </c>
      <c r="G89" s="2" t="inlineStr">
        <is>
          <t>applied n&gt;=2k+1 embedding rule, knotting caveat noted</t>
        </is>
      </c>
      <c r="H89" s="2" t="inlineStr">
        <is>
          <t>yes</t>
        </is>
      </c>
      <c r="I89" s="2" t="inlineStr">
        <is>
          <t>cited n≥2k+1 embedding dimension rule</t>
        </is>
      </c>
      <c r="J89" s="2" t="inlineStr">
        <is>
          <t>yes-&gt;yes</t>
        </is>
      </c>
    </row>
    <row r="90">
      <c r="A90" s="2" t="n">
        <v>956</v>
      </c>
      <c r="B90" s="2" t="inlineStr">
        <is>
          <t>q_4328</t>
        </is>
      </c>
      <c r="C90" s="2" t="inlineStr">
        <is>
          <t>Mathematics -&gt; Applied Mathematics -&gt; Statistics -&gt; Probability -&gt; Other</t>
        </is>
      </c>
      <c r="D90" s="2" t="n">
        <v>7</v>
      </c>
      <c r="E90" s="2" t="inlineStr">
        <is>
          <t>Given the joint probability distribution of random variables X and Y as \( f(x,y) = Te^{-x-y} \) for \( 0 &lt; y &lt; x &lt; \inf</t>
        </is>
      </c>
      <c r="F90" s="2" t="inlineStr">
        <is>
          <t>yes</t>
        </is>
      </c>
      <c r="G90" s="2" t="inlineStr">
        <is>
          <t>normalized T first, Gamma identities for moments</t>
        </is>
      </c>
      <c r="H90" s="2" t="inlineStr">
        <is>
          <t>yes</t>
        </is>
      </c>
      <c r="I90" s="2" t="inlineStr">
        <is>
          <t>normalization constant first, nested integrals for moments</t>
        </is>
      </c>
      <c r="J90" s="2" t="inlineStr">
        <is>
          <t>yes-&gt;yes</t>
        </is>
      </c>
    </row>
    <row r="91">
      <c r="A91" s="2" t="n">
        <v>963</v>
      </c>
      <c r="B91" s="2" t="inlineStr">
        <is>
          <t>q_2622</t>
        </is>
      </c>
      <c r="C91" s="2" t="inlineStr">
        <is>
          <t>Mathematics -&gt; Number Theory -&gt; Congruences</t>
        </is>
      </c>
      <c r="D91" s="2" t="n">
        <v>7.5</v>
      </c>
      <c r="E91" s="2" t="inlineStr">
        <is>
          <t>Find the last two digits of the number \( n = 2017^{(2018)^{(2019)^{(\cdots)}}} \).</t>
        </is>
      </c>
      <c r="F91" s="2" t="inlineStr">
        <is>
          <t>yes</t>
        </is>
      </c>
      <c r="G91" s="2" t="inlineStr">
        <is>
          <t>recursive totient reduction, exponent cycle analysis, successive squaring</t>
        </is>
      </c>
      <c r="H91" s="2" t="inlineStr">
        <is>
          <t>yes</t>
        </is>
      </c>
      <c r="I91" s="2" t="inlineStr">
        <is>
          <t>CRT mod 4 and 25 with Euler totient exponent reduction</t>
        </is>
      </c>
      <c r="J91" s="2" t="inlineStr">
        <is>
          <t>yes-&gt;yes</t>
        </is>
      </c>
    </row>
    <row r="92">
      <c r="A92" s="2" t="n">
        <v>970</v>
      </c>
      <c r="B92" s="2" t="inlineStr">
        <is>
          <t>q_86858</t>
        </is>
      </c>
      <c r="C92" s="2" t="inlineStr">
        <is>
          <t>Mathematics -&gt; Precalculus -&gt; Trigonometric Functions</t>
        </is>
      </c>
      <c r="D92" s="2" t="n">
        <v>6.5</v>
      </c>
      <c r="E92" s="2" t="inlineStr">
        <is>
          <t>Find the smallest positive value of \(a\) such that the inequality \(\frac{\sqrt[3]{\sin ^{2} x} - \sqrt[3]{\cos ^{2} x}</t>
        </is>
      </c>
      <c r="F92" s="2" t="inlineStr">
        <is>
          <t>yes</t>
        </is>
      </c>
      <c r="G92" s="2" t="inlineStr">
        <is>
          <t>s,c substitution, cancellation to AB/(A+B), symmetry supremum</t>
        </is>
      </c>
      <c r="H92" s="2" t="inlineStr">
        <is>
          <t>yes</t>
        </is>
      </c>
      <c r="I92" s="2" t="inlineStr">
        <is>
          <t>s,c substitution, fraction simplification, supremum at s=c, a=2M</t>
        </is>
      </c>
      <c r="J92" s="2" t="inlineStr">
        <is>
          <t>yes-&gt;yes</t>
        </is>
      </c>
    </row>
    <row r="93">
      <c r="A93" s="2" t="n">
        <v>984</v>
      </c>
      <c r="B93" s="2" t="inlineStr">
        <is>
          <t>q_56631</t>
        </is>
      </c>
      <c r="C93" s="2" t="inlineStr">
        <is>
          <t>Mathematics -&gt; Algebra -&gt; Algebra -&gt; Equations and Inequalities</t>
        </is>
      </c>
      <c r="D93" s="2" t="n">
        <v>7</v>
      </c>
      <c r="E93" s="2" t="inlineStr">
        <is>
          <t xml:space="preserve">Determine whether there exists a function $f(x)$ on the real domain and real constants $a$ and $b \neq 0$ such that the </t>
        </is>
      </c>
      <c r="F93" s="2" t="inlineStr">
        <is>
          <t>yes</t>
        </is>
      </c>
      <c r="G93" s="2" t="inlineStr">
        <is>
          <t>degree-elevated cubic, undetermined coefficients, constructive existence</t>
        </is>
      </c>
      <c r="H93" s="2" t="inlineStr">
        <is>
          <t>yes</t>
        </is>
      </c>
      <c r="I93" s="2" t="inlineStr">
        <is>
          <t>constructive polynomial ansatz with undetermined coefficients</t>
        </is>
      </c>
      <c r="J93" s="2" t="inlineStr">
        <is>
          <t>yes-&gt;yes</t>
        </is>
      </c>
    </row>
    <row r="94">
      <c r="A94" s="2" t="n">
        <v>998</v>
      </c>
      <c r="B94" s="2" t="inlineStr">
        <is>
          <t>q_73165</t>
        </is>
      </c>
      <c r="C94" s="2" t="inlineStr">
        <is>
          <t>Mathematics -&gt; Other</t>
        </is>
      </c>
      <c r="D94" s="2" t="n">
        <v>7.5</v>
      </c>
      <c r="E94" s="2" t="inlineStr">
        <is>
          <t>Find the values of $a$ and $b$ such that the series \( \sum_{n=1}^{\infty}(-1)^{n-1}\left(a-\frac{(n-b)^n}{n^n}\right) \</t>
        </is>
      </c>
      <c r="F94" s="2" t="inlineStr">
        <is>
          <t>yes</t>
        </is>
      </c>
      <c r="G94" s="2" t="inlineStr">
        <is>
          <t>necessary condition, Taylor log expansion, a=e^{-b}</t>
        </is>
      </c>
      <c r="H94" s="2" t="inlineStr">
        <is>
          <t>yes</t>
        </is>
      </c>
      <c r="I94" s="2" t="inlineStr">
        <is>
          <t>necessary condition with (1-b/n)^n exponential limit</t>
        </is>
      </c>
      <c r="J94" s="2" t="inlineStr">
        <is>
          <t>yes-&gt;yes</t>
        </is>
      </c>
    </row>
    <row r="95">
      <c r="A95" s="2" t="n">
        <v>999</v>
      </c>
      <c r="B95" s="2" t="inlineStr">
        <is>
          <t>q_62453</t>
        </is>
      </c>
      <c r="C95" s="2" t="inlineStr">
        <is>
          <t>Mathematics -&gt; Algebra -&gt; Linear Algebra -&gt; Vectors</t>
        </is>
      </c>
      <c r="D95" s="2" t="n">
        <v>6</v>
      </c>
      <c r="E95" s="2" t="inlineStr">
        <is>
          <t>Determine whether the function $\pi - x^2$ can be expressed as a linear combination of the basis functions $\{1, \cos x,</t>
        </is>
      </c>
      <c r="F95" s="2" t="inlineStr">
        <is>
          <t>yes</t>
        </is>
      </c>
      <c r="G95" s="2" t="inlineStr">
        <is>
          <t>Fourier coefficient computation, infinite-series conclusion</t>
        </is>
      </c>
      <c r="H95" s="2" t="inlineStr">
        <is>
          <t>yes</t>
        </is>
      </c>
      <c r="I95" s="2" t="inlineStr">
        <is>
          <t>computed Fourier coefficients, applied finite-vs-infinite distinction</t>
        </is>
      </c>
      <c r="J95" s="2" t="inlineStr">
        <is>
          <t>yes-&gt;yes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</cols>
  <sheetData>
    <row r="1">
      <c r="A1" s="3" t="inlineStr">
        <is>
          <t>Blinded LLM-judge uptake study - Qwen 2.5 7B, {q,i} vs {q,i|q,i}</t>
        </is>
      </c>
    </row>
    <row r="2" ht="44" customHeight="1">
      <c r="A2" s="4" t="inlineStr">
        <is>
          <t>All 440 (card, response) pairs judged independently, shuffled, condition and correctness hidden; one fixed rubric (judge: Claude, 2026-07-17). Verdict = does the response APPLY the card's core strategy (solution path, not wording). Improved group: wrong at x1, right at x2. Hurt control: right at x1, wrong at x2.</t>
        </is>
      </c>
    </row>
    <row r="4">
      <c r="A4" s="5" t="inlineStr">
        <is>
          <t>IMPROVED (wrong -&gt; right): verdict counts</t>
        </is>
      </c>
    </row>
    <row r="5">
      <c r="A5" s="6" t="inlineStr">
        <is>
          <t>verdict</t>
        </is>
      </c>
      <c r="B5" s="6" t="inlineStr">
        <is>
          <t>x1 {q,i}</t>
        </is>
      </c>
      <c r="C5" s="6" t="inlineStr">
        <is>
          <t>x2 {q,i|q,i}</t>
        </is>
      </c>
    </row>
    <row r="6">
      <c r="A6" s="2" t="inlineStr">
        <is>
          <t>yes</t>
        </is>
      </c>
      <c r="B6" s="2">
        <f>COUNTIF('Improved (126)'!F$2:F$127,$A6)</f>
        <v/>
      </c>
      <c r="C6" s="2">
        <f>COUNTIF('Improved (126)'!H$2:H$127,$A6)</f>
        <v/>
      </c>
    </row>
    <row r="7">
      <c r="A7" s="2" t="inlineStr">
        <is>
          <t>unclear</t>
        </is>
      </c>
      <c r="B7" s="2">
        <f>COUNTIF('Improved (126)'!F$2:F$127,$A7)</f>
        <v/>
      </c>
      <c r="C7" s="2">
        <f>COUNTIF('Improved (126)'!H$2:H$127,$A7)</f>
        <v/>
      </c>
    </row>
    <row r="8">
      <c r="A8" s="2" t="inlineStr">
        <is>
          <t>no</t>
        </is>
      </c>
      <c r="B8" s="2">
        <f>COUNTIF('Improved (126)'!F$2:F$127,$A8)</f>
        <v/>
      </c>
      <c r="C8" s="2">
        <f>COUNTIF('Improved (126)'!H$2:H$127,$A8)</f>
        <v/>
      </c>
    </row>
    <row r="9">
      <c r="A9" s="2" t="inlineStr">
        <is>
          <t>yes-rate</t>
        </is>
      </c>
      <c r="B9" s="7">
        <f>B6/SUM(B6:B8)</f>
        <v/>
      </c>
      <c r="C9" s="7">
        <f>C6/SUM(C6:C8)</f>
        <v/>
      </c>
    </row>
    <row r="10">
      <c r="A10" s="2" t="inlineStr">
        <is>
          <t>uptake gained (non-yes-&gt;yes)</t>
        </is>
      </c>
      <c r="B10" s="2">
        <f>SUMPRODUCT(('Improved (126)'!F$2:F$127&lt;&gt;"yes")*('Improved (126)'!H$2:H$127="yes"))</f>
        <v/>
      </c>
    </row>
    <row r="11">
      <c r="A11" s="2" t="inlineStr">
        <is>
          <t>uptake lost (yes-&gt;non-yes)</t>
        </is>
      </c>
      <c r="B11" s="2">
        <f>SUMPRODUCT(('Improved (126)'!F$2:F$127="yes")*('Improved (126)'!H$2:H$127&lt;&gt;"yes"))</f>
        <v/>
      </c>
    </row>
    <row r="12">
      <c r="A12" s="2" t="inlineStr">
        <is>
          <t>two-sided sign test p</t>
        </is>
      </c>
      <c r="B12" s="8">
        <f>MIN(1,2*BINOMDIST(MIN(B10,B11),B10+B11,0.5,TRUE))</f>
        <v/>
      </c>
    </row>
    <row r="14">
      <c r="A14" s="5" t="inlineStr">
        <is>
          <t>HURT CONTROL (right -&gt; wrong): verdict counts</t>
        </is>
      </c>
    </row>
    <row r="15">
      <c r="A15" s="6" t="inlineStr">
        <is>
          <t>verdict</t>
        </is>
      </c>
      <c r="B15" s="6" t="inlineStr">
        <is>
          <t>x1 {q,i}</t>
        </is>
      </c>
      <c r="C15" s="6" t="inlineStr">
        <is>
          <t>x2 {q,i|q,i}</t>
        </is>
      </c>
    </row>
    <row r="16">
      <c r="A16" s="2" t="inlineStr">
        <is>
          <t>yes</t>
        </is>
      </c>
      <c r="B16" s="2">
        <f>COUNTIF('Hurt control (94)'!F$2:F$95,$A16)</f>
        <v/>
      </c>
      <c r="C16" s="2">
        <f>COUNTIF('Hurt control (94)'!H$2:H$95,$A16)</f>
        <v/>
      </c>
    </row>
    <row r="17">
      <c r="A17" s="2" t="inlineStr">
        <is>
          <t>unclear</t>
        </is>
      </c>
      <c r="B17" s="2">
        <f>COUNTIF('Hurt control (94)'!F$2:F$95,$A17)</f>
        <v/>
      </c>
      <c r="C17" s="2">
        <f>COUNTIF('Hurt control (94)'!H$2:H$95,$A17)</f>
        <v/>
      </c>
    </row>
    <row r="18">
      <c r="A18" s="2" t="inlineStr">
        <is>
          <t>no</t>
        </is>
      </c>
      <c r="B18" s="2">
        <f>COUNTIF('Hurt control (94)'!F$2:F$95,$A18)</f>
        <v/>
      </c>
      <c r="C18" s="2">
        <f>COUNTIF('Hurt control (94)'!H$2:H$95,$A18)</f>
        <v/>
      </c>
    </row>
    <row r="19">
      <c r="A19" s="2" t="inlineStr">
        <is>
          <t>yes-rate</t>
        </is>
      </c>
      <c r="B19" s="7">
        <f>B16/SUM(B16:B18)</f>
        <v/>
      </c>
      <c r="C19" s="7">
        <f>C16/SUM(C16:C18)</f>
        <v/>
      </c>
    </row>
    <row r="20">
      <c r="A20" s="2" t="inlineStr">
        <is>
          <t>uptake gained (non-yes-&gt;yes)</t>
        </is>
      </c>
      <c r="B20" s="2">
        <f>SUMPRODUCT(('Hurt control (94)'!F$2:F$95&lt;&gt;"yes")*('Hurt control (94)'!H$2:H$95="yes"))</f>
        <v/>
      </c>
    </row>
    <row r="21">
      <c r="A21" s="2" t="inlineStr">
        <is>
          <t>uptake lost (yes-&gt;non-yes)</t>
        </is>
      </c>
      <c r="B21" s="2">
        <f>SUMPRODUCT(('Hurt control (94)'!F$2:F$95="yes")*('Hurt control (94)'!H$2:H$95&lt;&gt;"yes"))</f>
        <v/>
      </c>
    </row>
    <row r="22">
      <c r="A22" s="2" t="inlineStr">
        <is>
          <t>two-sided sign test p</t>
        </is>
      </c>
      <c r="B22" s="8">
        <f>MIN(1,2*BINOMDIST(MIN(B20,B21),B20+B21,0.5,TRUE))</f>
        <v/>
      </c>
    </row>
    <row r="24">
      <c r="A24" s="5" t="inlineStr">
        <is>
          <t>Pooled (both groups, 220 items)</t>
        </is>
      </c>
    </row>
    <row r="25">
      <c r="A25" s="2" t="inlineStr">
        <is>
          <t>yes-rate x1</t>
        </is>
      </c>
      <c r="B25" s="7">
        <f>(COUNTIF('Improved (126)'!F2:F127,"yes")+COUNTIF('Hurt control (94)'!F2:F95,"yes"))/220</f>
        <v/>
      </c>
    </row>
    <row r="26">
      <c r="A26" s="2" t="inlineStr">
        <is>
          <t>yes-rate x2</t>
        </is>
      </c>
      <c r="B26" s="7">
        <f>(COUNTIF('Improved (126)'!H2:H127,"yes")+COUNTIF('Hurt control (94)'!H2:H95,"yes"))/220</f>
        <v/>
      </c>
    </row>
    <row r="28">
      <c r="A28" s="5" t="inlineStr">
        <is>
          <t>Reading</t>
        </is>
      </c>
    </row>
    <row r="29" ht="100" customHeight="1">
      <c r="A29" s="4" t="inlineStr">
        <is>
          <t>Uptake tracks the answer flip in BOTH directions (improved: +13/-2, p=.007; hurt: +4/-12, p=.077) and pooled x1 vs x2 yes-rates are nearly equal (88.6% vs 90.0%). The judged uptake gain on improved items is therefore explained by the correctness coupling, not by a detectable condition-driven uptake increase from the second insight copy. Key positive finding: ~88% of FAILURES under a single presentation already apply the card - failures are execution failures, not attention failures - bounding the pure 'rescue an ignored card' channel to at most ~12% of items.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2026-07-17T16:28:28Z</dcterms:created>
  <dcterms:modified xsi:type="dcterms:W3CDTF">2026-07-17T16:28:28Z</dcterms:modified>
</cp:coreProperties>
</file>