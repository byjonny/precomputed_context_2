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d (72)" sheetId="1" state="visible" r:id="rId1"/>
    <sheet name="Hurt control (60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9" customWidth="1" min="4" max="4"/>
    <col width="46" customWidth="1" min="5" max="5"/>
    <col width="14" customWidth="1" min="6" max="6"/>
    <col width="40" customWidth="1" min="7" max="7"/>
    <col width="16" customWidth="1" min="8" max="8"/>
    <col width="40" customWidth="1" min="9" max="9"/>
    <col width="16" customWidth="1" min="10" max="10"/>
  </cols>
  <sheetData>
    <row r="1">
      <c r="A1" s="1" t="inlineStr">
        <is>
          <t>item_index</t>
        </is>
      </c>
      <c r="B1" s="1" t="inlineStr">
        <is>
          <t>question_id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question (first 120 chars)</t>
        </is>
      </c>
      <c r="F1" s="1" t="inlineStr">
        <is>
          <t>verdict x1 {q,i}</t>
        </is>
      </c>
      <c r="G1" s="1" t="inlineStr">
        <is>
          <t>evidence x1</t>
        </is>
      </c>
      <c r="H1" s="1" t="inlineStr">
        <is>
          <t>verdict x2 {q,i|q,i}</t>
        </is>
      </c>
      <c r="I1" s="1" t="inlineStr">
        <is>
          <t>evidence x2</t>
        </is>
      </c>
      <c r="J1" s="1" t="inlineStr">
        <is>
          <t>transition</t>
        </is>
      </c>
    </row>
    <row r="2">
      <c r="A2" s="2" t="n">
        <v>6</v>
      </c>
      <c r="B2" s="2" t="inlineStr">
        <is>
          <t>q_62813</t>
        </is>
      </c>
      <c r="C2" s="2" t="inlineStr">
        <is>
          <t>Mathematics -&gt; Calculus -&gt; Integral Calculus -&gt; Techniques of Integration -&gt; Multi-variable</t>
        </is>
      </c>
      <c r="D2" s="2" t="n">
        <v>5.5</v>
      </c>
      <c r="E2" s="2" t="inlineStr">
        <is>
          <t xml:space="preserve">Evaluate the double integral \( \iint\limits_{A} y \, dA \), where the region \( A \) is bounded by the parabola \( x^2 </t>
        </is>
      </c>
      <c r="F2" s="2" t="inlineStr">
        <is>
          <t>yes</t>
        </is>
      </c>
      <c r="G2" s="2" t="inlineStr">
        <is>
          <t>substitution for intersections, Cartesian Type I setup, symmetry used</t>
        </is>
      </c>
      <c r="H2" s="2" t="inlineStr">
        <is>
          <t>yes</t>
        </is>
      </c>
      <c r="I2" s="2" t="inlineStr">
        <is>
          <t>algebraic intersection, symmetry halving, Cartesian, simplified inner integral</t>
        </is>
      </c>
      <c r="J2" s="2" t="inlineStr">
        <is>
          <t>yes-&gt;yes</t>
        </is>
      </c>
    </row>
    <row r="3">
      <c r="A3" s="2" t="n">
        <v>32</v>
      </c>
      <c r="B3" s="2" t="inlineStr">
        <is>
          <t>q_94844</t>
        </is>
      </c>
      <c r="C3" s="2" t="inlineStr">
        <is>
          <t>Mathematics -&gt; Algebra -&gt; Intermediate Algebra -&gt; Other</t>
        </is>
      </c>
      <c r="D3" s="2" t="n">
        <v>5</v>
      </c>
      <c r="E3" s="2" t="inlineStr">
        <is>
          <t>Find the number of positive integers $n \le 1000$ that can be expressed in the form \[\lfloor x \rfloor + \lfloor 2x \rf</t>
        </is>
      </c>
      <c r="F3" s="2" t="inlineStr">
        <is>
          <t>yes</t>
        </is>
      </c>
      <c r="G3" s="2" t="inlineStr">
        <is>
          <t>decomposed 6m+g(θ), critical points, residues mod 6 counted</t>
        </is>
      </c>
      <c r="H3" s="2" t="inlineStr">
        <is>
          <t>yes</t>
        </is>
      </c>
      <c r="I3" s="2" t="inlineStr">
        <is>
          <t>decomposed x=m+theta, critical points, residue cycle counting</t>
        </is>
      </c>
      <c r="J3" s="2" t="inlineStr">
        <is>
          <t>yes-&gt;yes</t>
        </is>
      </c>
    </row>
    <row r="4">
      <c r="A4" s="2" t="n">
        <v>58</v>
      </c>
      <c r="B4" s="2" t="inlineStr">
        <is>
          <t>q_28464</t>
        </is>
      </c>
      <c r="C4" s="2" t="inlineStr">
        <is>
          <t>Mathematics -&gt; Calculus -&gt; Integral Calculus -&gt; Applications of Integrals</t>
        </is>
      </c>
      <c r="D4" s="2" t="n">
        <v>6.5</v>
      </c>
      <c r="E4" s="2" t="inlineStr">
        <is>
          <t>Compute the integral of the curl of the vector field \( F = (x^2+y-4, 3xy, 2xz+z^2) \) over the surface defined by \( x^</t>
        </is>
      </c>
      <c r="F4" s="2" t="inlineStr">
        <is>
          <t>yes</t>
        </is>
      </c>
      <c r="G4" s="2" t="inlineStr">
        <is>
          <t>Stokes reduction to boundary circle, z=0 evaluation, trig parity</t>
        </is>
      </c>
      <c r="H4" s="2" t="inlineStr">
        <is>
          <t>yes</t>
        </is>
      </c>
      <c r="I4" s="2" t="inlineStr">
        <is>
          <t>Stokes conversion to boundary line integral, odd terms vanish</t>
        </is>
      </c>
      <c r="J4" s="2" t="inlineStr">
        <is>
          <t>yes-&gt;yes</t>
        </is>
      </c>
    </row>
    <row r="5">
      <c r="A5" s="2" t="n">
        <v>81</v>
      </c>
      <c r="B5" s="2" t="inlineStr">
        <is>
          <t>q_11337</t>
        </is>
      </c>
      <c r="C5" s="2" t="inlineStr">
        <is>
          <t>Mathematics -&gt; Geometry -&gt; Solid Geometry -&gt; Surface Area</t>
        </is>
      </c>
      <c r="D5" s="2" t="n">
        <v>7.5</v>
      </c>
      <c r="E5" s="2" t="inlineStr">
        <is>
          <t>Calculate the surface area of the portion of the sphere defined by \(x^2 + y^2 + z^2 = 16z\) that lies within the parabo</t>
        </is>
      </c>
      <c r="F5" s="2" t="inlineStr">
        <is>
          <t>yes</t>
        </is>
      </c>
      <c r="G5" s="2" t="inlineStr">
        <is>
          <t>completes square, r^2 reduction, cap area via constant-z boundary</t>
        </is>
      </c>
      <c r="H5" s="2" t="inlineStr">
        <is>
          <t>yes</t>
        </is>
      </c>
      <c r="I5" s="2" t="inlineStr">
        <is>
          <t>completes square, intersection height, cap area</t>
        </is>
      </c>
      <c r="J5" s="2" t="inlineStr">
        <is>
          <t>yes-&gt;yes</t>
        </is>
      </c>
    </row>
    <row r="6">
      <c r="A6" s="2" t="n">
        <v>91</v>
      </c>
      <c r="B6" s="2" t="inlineStr">
        <is>
          <t>q_68697</t>
        </is>
      </c>
      <c r="C6" s="2" t="inlineStr">
        <is>
          <t>Mathematics -&gt; Algebra -&gt; Abstract Algebra -&gt; Group Theory</t>
        </is>
      </c>
      <c r="D6" s="2" t="n">
        <v>7</v>
      </c>
      <c r="E6" s="2" t="inlineStr">
        <is>
          <t>Determine whether a semigroup exists that satisfies the following properties: 1. For all elements $x$ and $y$, there exi</t>
        </is>
      </c>
      <c r="F6" s="2" t="inlineStr">
        <is>
          <t>yes</t>
        </is>
      </c>
      <c r="G6" s="2" t="inlineStr">
        <is>
          <t>Translation-map surjectivity analysis reducing to group structure</t>
        </is>
      </c>
      <c r="H6" s="2" t="inlineStr">
        <is>
          <t>yes</t>
        </is>
      </c>
      <c r="I6" s="2" t="inlineStr">
        <is>
          <t>translation surjectivity analysis, finite implies group, tested S3</t>
        </is>
      </c>
      <c r="J6" s="2" t="inlineStr">
        <is>
          <t>yes-&gt;yes</t>
        </is>
      </c>
    </row>
    <row r="7">
      <c r="A7" s="2" t="n">
        <v>98</v>
      </c>
      <c r="B7" s="2" t="inlineStr">
        <is>
          <t>q_255</t>
        </is>
      </c>
      <c r="C7" s="2" t="inlineStr">
        <is>
          <t>Mathematics -&gt; Algebra -&gt; Abstract Algebra -&gt; Ring Theory</t>
        </is>
      </c>
      <c r="D7" s="2" t="n">
        <v>7.5</v>
      </c>
      <c r="E7" s="2" t="inlineStr">
        <is>
          <t>Let $u: M \rightarrow N$ be an $A$-module homomorphism, and let $N'$ be the image of $u$. Suppose $a$ is an ideal of $A$</t>
        </is>
      </c>
      <c r="F7" s="2" t="inlineStr">
        <is>
          <t>yes</t>
        </is>
      </c>
      <c r="G7" s="2" t="inlineStr">
        <is>
          <t>N=N'+aN decomposition, a(N/K)=(aN+K)/K identity applied</t>
        </is>
      </c>
      <c r="H7" s="2" t="inlineStr">
        <is>
          <t>yes</t>
        </is>
      </c>
      <c r="I7" s="2" t="inlineStr">
        <is>
          <t>derives N=N'+aN, uses ideal-quotient identity</t>
        </is>
      </c>
      <c r="J7" s="2" t="inlineStr">
        <is>
          <t>yes-&gt;yes</t>
        </is>
      </c>
    </row>
    <row r="8">
      <c r="A8" s="2" t="n">
        <v>117</v>
      </c>
      <c r="B8" s="2" t="inlineStr">
        <is>
          <t>q_8617</t>
        </is>
      </c>
      <c r="C8" s="2" t="inlineStr">
        <is>
          <t>Mathematics -&gt; Applied Mathematics -&gt; Statistics -&gt; Probability -&gt; Other</t>
        </is>
      </c>
      <c r="D8" s="2" t="n">
        <v>6</v>
      </c>
      <c r="E8" s="2" t="inlineStr">
        <is>
          <t>Find the probability density function of the random variable $U = Y_1 + Y_2$, where $(Y_1, Y_2)$ is uniformly distribute</t>
        </is>
      </c>
      <c r="F8" s="2" t="inlineStr">
        <is>
          <t>yes</t>
        </is>
      </c>
      <c r="G8" s="2" t="inlineStr">
        <is>
          <t>density 1/Area, CDF method, sweeping-line PDF</t>
        </is>
      </c>
      <c r="H8" s="2" t="inlineStr">
        <is>
          <t>yes</t>
        </is>
      </c>
      <c r="I8" s="2" t="inlineStr">
        <is>
          <t>Joint pdf 1/Area, CDF method, differentiated triangle area</t>
        </is>
      </c>
      <c r="J8" s="2" t="inlineStr">
        <is>
          <t>yes-&gt;yes</t>
        </is>
      </c>
    </row>
    <row r="9">
      <c r="A9" s="2" t="n">
        <v>126</v>
      </c>
      <c r="B9" s="2" t="inlineStr">
        <is>
          <t>q_70014</t>
        </is>
      </c>
      <c r="C9" s="2" t="inlineStr">
        <is>
          <t>Mathematics -&gt; Geometry -&gt; Plane Geometry -&gt; Triangulations</t>
        </is>
      </c>
      <c r="D9" s="2" t="n">
        <v>5</v>
      </c>
      <c r="E9" s="2" t="inlineStr">
        <is>
          <t>In a right triangle $\triangle ABC$ with $BC = AC = 1$, let $P$ be a point on $AB$. From $P$, draw perpendiculars $PQ$ a</t>
        </is>
      </c>
      <c r="F9" s="2" t="inlineStr">
        <is>
          <t>yes</t>
        </is>
      </c>
      <c r="G9" s="2" t="inlineStr">
        <is>
          <t>Parameterized areas, intersected envelope functions for min-max</t>
        </is>
      </c>
      <c r="H9" s="2" t="inlineStr">
        <is>
          <t>yes</t>
        </is>
      </c>
      <c r="I9" s="2" t="inlineStr">
        <is>
          <t>parameterized areas, intersections of upper envelope, boundaries checked</t>
        </is>
      </c>
      <c r="J9" s="2" t="inlineStr">
        <is>
          <t>yes-&gt;yes</t>
        </is>
      </c>
    </row>
    <row r="10">
      <c r="A10" s="2" t="n">
        <v>128</v>
      </c>
      <c r="B10" s="2" t="inlineStr">
        <is>
          <t>q_21503</t>
        </is>
      </c>
      <c r="C10" s="2" t="inlineStr">
        <is>
          <t>Mathematics -&gt; Algebra -&gt; Abstract Algebra -&gt; Group Theory</t>
        </is>
      </c>
      <c r="D10" s="2" t="n">
        <v>8</v>
      </c>
      <c r="E10" s="2" t="inlineStr">
        <is>
          <t>Let $G$ be a group and $N$ be a minimal normal subgroup of $G$. Let $G_p \in \text{Syl}_p(G)$, where $p$ is an odd prime</t>
        </is>
      </c>
      <c r="F10" s="2" t="inlineStr">
        <is>
          <t>yes</t>
        </is>
      </c>
      <c r="G10" s="2" t="inlineStr">
        <is>
          <t>correspondence, second isomorphism, P=M∩Gp maximality lift</t>
        </is>
      </c>
      <c r="H10" s="2" t="inlineStr">
        <is>
          <t>yes</t>
        </is>
      </c>
      <c r="I10" s="2" t="inlineStr">
        <is>
          <t>correspondence, second isomorphism, defined P=M∩Gp</t>
        </is>
      </c>
      <c r="J10" s="2" t="inlineStr">
        <is>
          <t>yes-&gt;yes</t>
        </is>
      </c>
    </row>
    <row r="11">
      <c r="A11" s="2" t="n">
        <v>133</v>
      </c>
      <c r="B11" s="2" t="inlineStr">
        <is>
          <t>q_92323</t>
        </is>
      </c>
      <c r="C11" s="2" t="inlineStr">
        <is>
          <t>Mathematics -&gt; Algebra -&gt; Algebra -&gt; Algebraic Expressions</t>
        </is>
      </c>
      <c r="D11" s="2" t="n">
        <v>5</v>
      </c>
      <c r="E11" s="2" t="inlineStr">
        <is>
          <t>A linear function \( f(x) \) is given. The distance between the points of intersection of the graphs \( y = x^{2} \) and</t>
        </is>
      </c>
      <c r="F11" s="2" t="inlineStr">
        <is>
          <t>yes</t>
        </is>
      </c>
      <c r="G11" s="2" t="inlineStr">
        <is>
          <t>Distance decomposition, Vieta, compound-block substitution A, C</t>
        </is>
      </c>
      <c r="H11" s="2" t="inlineStr">
        <is>
          <t>yes</t>
        </is>
      </c>
      <c r="I11" s="2" t="inlineStr">
        <is>
          <t>Vieta distance decomposition, block substitution A, B</t>
        </is>
      </c>
      <c r="J11" s="2" t="inlineStr">
        <is>
          <t>yes-&gt;yes</t>
        </is>
      </c>
    </row>
    <row r="12">
      <c r="A12" s="2" t="n">
        <v>145</v>
      </c>
      <c r="B12" s="2" t="inlineStr">
        <is>
          <t>q_84599</t>
        </is>
      </c>
      <c r="C12" s="2" t="inlineStr">
        <is>
          <t>Mathematics -&gt; Calculus -&gt; Integral Calculus -&gt; Techniques of Integration -&gt; Multi-variable</t>
        </is>
      </c>
      <c r="D12" s="2" t="n">
        <v>7</v>
      </c>
      <c r="E12" s="2" t="inlineStr">
        <is>
          <t>Evaluate the line integral \( \int_C F \cdot dr \) where \( F = yz\mathbf{i} + 2xz\mathbf{j} + e^{xy}\mathbf{k} \) and \</t>
        </is>
      </c>
      <c r="F12" s="2" t="inlineStr">
        <is>
          <t>yes</t>
        </is>
      </c>
      <c r="G12" s="2" t="inlineStr">
        <is>
          <t>Stokes with flat disk, downward normal n=-k</t>
        </is>
      </c>
      <c r="H12" s="2" t="inlineStr">
        <is>
          <t>yes</t>
        </is>
      </c>
      <c r="I12" s="2" t="inlineStr">
        <is>
          <t>Stokes with flat disk, -k normal, constant times area</t>
        </is>
      </c>
      <c r="J12" s="2" t="inlineStr">
        <is>
          <t>yes-&gt;yes</t>
        </is>
      </c>
    </row>
    <row r="13">
      <c r="A13" s="2" t="n">
        <v>210</v>
      </c>
      <c r="B13" s="2" t="inlineStr">
        <is>
          <t>q_40221</t>
        </is>
      </c>
      <c r="C13" s="2" t="inlineStr">
        <is>
          <t>Mathematics -&gt; Other</t>
        </is>
      </c>
      <c r="D13" s="2" t="n">
        <v>8</v>
      </c>
      <c r="E13" s="2" t="inlineStr">
        <is>
          <t>Evaluate the integral \( \int_0^\infty \frac{\sin(x)}{x^3} \, dx \) using complex analysis.</t>
        </is>
      </c>
      <c r="F13" s="2" t="inlineStr">
        <is>
          <t>unclear</t>
        </is>
      </c>
      <c r="G13" s="2" t="inlineStr">
        <is>
          <t>naive contour residue; no regularization, indentation, or finite part</t>
        </is>
      </c>
      <c r="H13" s="2" t="inlineStr">
        <is>
          <t>unclear</t>
        </is>
      </c>
      <c r="I13" s="2" t="inlineStr">
        <is>
          <t>starts Taylor/contour attempts, abandons all, quotes formula for answer</t>
        </is>
      </c>
      <c r="J13" s="2" t="inlineStr">
        <is>
          <t>unclear-&gt;unclear</t>
        </is>
      </c>
    </row>
    <row r="14">
      <c r="A14" s="2" t="n">
        <v>227</v>
      </c>
      <c r="B14" s="2" t="inlineStr">
        <is>
          <t>q_88463</t>
        </is>
      </c>
      <c r="C14" s="2" t="inlineStr">
        <is>
          <t>Mathematics -&gt; Algebra -&gt; Intermediate Algebra -&gt; Complex Numbers</t>
        </is>
      </c>
      <c r="D14" s="2" t="n">
        <v>6</v>
      </c>
      <c r="E14" s="2" t="inlineStr">
        <is>
          <t>If the complex number \( z \) satisfies \( |z| = 2 \), find the maximum value of \( \frac{\left|z^{2}-z+1\right|}{|2z-1-</t>
        </is>
      </c>
      <c r="F14" s="2" t="inlineStr">
        <is>
          <t>no</t>
        </is>
      </c>
      <c r="G14" s="2" t="inlineStr">
        <is>
          <t>raw triangle-inequality bounds; no factorization or cancellation</t>
        </is>
      </c>
      <c r="H14" s="2" t="inlineStr">
        <is>
          <t>yes</t>
        </is>
      </c>
      <c r="I14" s="2" t="inlineStr">
        <is>
          <t>Factored into |z-root| terms, cancelled, maximized distance R+|a|</t>
        </is>
      </c>
      <c r="J14" s="2" t="inlineStr">
        <is>
          <t>no-&gt;yes</t>
        </is>
      </c>
    </row>
    <row r="15">
      <c r="A15" s="2" t="n">
        <v>229</v>
      </c>
      <c r="B15" s="2" t="inlineStr">
        <is>
          <t>q_35870</t>
        </is>
      </c>
      <c r="C15" s="2" t="inlineStr">
        <is>
          <t>Mathematics -&gt; Applied Mathematics -&gt; Other</t>
        </is>
      </c>
      <c r="D15" s="2" t="n">
        <v>6.5</v>
      </c>
      <c r="E15" s="2" t="inlineStr">
        <is>
          <t>Determine whether the following statement is true or false: Any feasible solution of a linear programming problem can be</t>
        </is>
      </c>
      <c r="F15" s="2" t="inlineStr">
        <is>
          <t>unclear</t>
        </is>
      </c>
      <c r="G15" s="2" t="inlineStr">
        <is>
          <t>notes unbounded/ray issue but dismisses it, concludes true</t>
        </is>
      </c>
      <c r="H15" s="2" t="inlineStr">
        <is>
          <t>yes</t>
        </is>
      </c>
      <c r="I15" s="2" t="inlineStr">
        <is>
          <t>unboundedness, extreme rays, Minkowski-Weyl counterargument</t>
        </is>
      </c>
      <c r="J15" s="2" t="inlineStr">
        <is>
          <t>unclear-&gt;yes</t>
        </is>
      </c>
    </row>
    <row r="16">
      <c r="A16" s="2" t="n">
        <v>236</v>
      </c>
      <c r="B16" s="2" t="inlineStr">
        <is>
          <t>q_4719</t>
        </is>
      </c>
      <c r="C16" s="2" t="inlineStr">
        <is>
          <t>Mathematics -&gt; Applied Mathematics -&gt; Statistics -&gt; Mathematical Statistics</t>
        </is>
      </c>
      <c r="D16" s="2" t="n">
        <v>6.5</v>
      </c>
      <c r="E16" s="2" t="inlineStr">
        <is>
          <t>Is it true that if a function X is F-measurable, or a Borel function, then it is constant on the atoms of F in all cases</t>
        </is>
      </c>
      <c r="F16" s="2" t="inlineStr">
        <is>
          <t>no</t>
        </is>
      </c>
      <c r="G16" s="2" t="inlineStr">
        <is>
          <t>cross-atom counterexample instead of pre-image constancy argument</t>
        </is>
      </c>
      <c r="H16" s="2" t="inlineStr">
        <is>
          <t>yes</t>
        </is>
      </c>
      <c r="I16" s="2" t="inlineStr">
        <is>
          <t>Pre-image property on atoms forcing constancy</t>
        </is>
      </c>
      <c r="J16" s="2" t="inlineStr">
        <is>
          <t>no-&gt;yes</t>
        </is>
      </c>
    </row>
    <row r="17">
      <c r="A17" s="2" t="n">
        <v>255</v>
      </c>
      <c r="B17" s="2" t="inlineStr">
        <is>
          <t>q_89173</t>
        </is>
      </c>
      <c r="C17" s="2" t="inlineStr">
        <is>
          <t>Mathematics -&gt; Number Theory -&gt; Factorization</t>
        </is>
      </c>
      <c r="D17" s="2" t="n">
        <v>7</v>
      </c>
      <c r="E17" s="2" t="inlineStr">
        <is>
          <t>Find the smallest constant \( c \) such that \( d(n) \le c\sqrt{n} \) holds for all positive integers \( n \).</t>
        </is>
      </c>
      <c r="F17" s="2" t="inlineStr">
        <is>
          <t>yes</t>
        </is>
      </c>
      <c r="G17" s="2" t="inlineStr">
        <is>
          <t>highly-composite small-value exhaustion drives main path</t>
        </is>
      </c>
      <c r="H17" s="2" t="inlineStr">
        <is>
          <t>yes</t>
        </is>
      </c>
      <c r="I17" s="2" t="inlineStr">
        <is>
          <t>small-value exhaustion, sharpness at n=12 gives sqrt(3)</t>
        </is>
      </c>
      <c r="J17" s="2" t="inlineStr">
        <is>
          <t>yes-&gt;yes</t>
        </is>
      </c>
    </row>
    <row r="18">
      <c r="A18" s="2" t="n">
        <v>274</v>
      </c>
      <c r="B18" s="2" t="inlineStr">
        <is>
          <t>q_19371</t>
        </is>
      </c>
      <c r="C18" s="2" t="inlineStr">
        <is>
          <t>Mathematics -&gt; Calculus -&gt; Differential Calculus -&gt; Applications of Derivatives</t>
        </is>
      </c>
      <c r="D18" s="2" t="n">
        <v>6</v>
      </c>
      <c r="E18" s="2" t="inlineStr">
        <is>
          <t>Determine the interval of convergence for the series \( \sum_{n=1}^{\infty} n \exp(-x \sqrt{n}) \).</t>
        </is>
      </c>
      <c r="F18" s="2" t="inlineStr">
        <is>
          <t>yes</t>
        </is>
      </c>
      <c r="G18" s="2" t="inlineStr">
        <is>
          <t>domain split, divergence test, integral test with u=sqrt(n)</t>
        </is>
      </c>
      <c r="H18" s="2" t="inlineStr">
        <is>
          <t>yes</t>
        </is>
      </c>
      <c r="I18" s="2" t="inlineStr">
        <is>
          <t>divergence test x&lt;=0, integral test with u=sqrt(n)</t>
        </is>
      </c>
      <c r="J18" s="2" t="inlineStr">
        <is>
          <t>yes-&gt;yes</t>
        </is>
      </c>
    </row>
    <row r="19">
      <c r="A19" s="2" t="n">
        <v>285</v>
      </c>
      <c r="B19" s="2" t="inlineStr">
        <is>
          <t>q_65024</t>
        </is>
      </c>
      <c r="C19" s="2" t="inlineStr">
        <is>
          <t>Mathematics -&gt; Precalculus -&gt; Trigonometric Functions</t>
        </is>
      </c>
      <c r="D19" s="2" t="n">
        <v>4.5</v>
      </c>
      <c r="E19" s="2" t="inlineStr">
        <is>
          <t>Determine the range of the function \( f(x) = \frac{(1+\sin^4 x)}{\sin^4 x} \cdot \frac{(1+\cos^4 x)}{\cos^4 x} \).</t>
        </is>
      </c>
      <c r="F19" s="2" t="inlineStr">
        <is>
          <t>yes</t>
        </is>
      </c>
      <c r="G19" s="2" t="inlineStr">
        <is>
          <t>p=sin^2x substitution, midpoint p=1/2, limit to infinity</t>
        </is>
      </c>
      <c r="H19" s="2" t="inlineStr">
        <is>
          <t>yes</t>
        </is>
      </c>
      <c r="I19" s="2" t="inlineStr">
        <is>
          <t>substituted p=sin^2 x, midpoint minimum, boundary limits infinity</t>
        </is>
      </c>
      <c r="J19" s="2" t="inlineStr">
        <is>
          <t>yes-&gt;yes</t>
        </is>
      </c>
    </row>
    <row r="20">
      <c r="A20" s="2" t="n">
        <v>290</v>
      </c>
      <c r="B20" s="2" t="inlineStr">
        <is>
          <t>q_83462</t>
        </is>
      </c>
      <c r="C20" s="2" t="inlineStr">
        <is>
          <t>Mathematics -&gt; Other</t>
        </is>
      </c>
      <c r="D20" s="2" t="n">
        <v>7.5</v>
      </c>
      <c r="E20" s="2" t="inlineStr">
        <is>
          <t>Calculate the residue of the function \( f(z) = \sin\left(\frac{z^2+1}{z}\right) \) at \( z = 0 \).</t>
        </is>
      </c>
      <c r="F20" s="2" t="inlineStr">
        <is>
          <t>yes</t>
        </is>
      </c>
      <c r="G20" s="2" t="inlineStr">
        <is>
          <t>Taylor plus binomial z^{-1} coefficient, Bessel matching</t>
        </is>
      </c>
      <c r="H20" s="2" t="inlineStr">
        <is>
          <t>yes</t>
        </is>
      </c>
      <c r="I20" s="2" t="inlineStr">
        <is>
          <t>Taylor binomial coefficient extraction, identified J1(2) Bessel</t>
        </is>
      </c>
      <c r="J20" s="2" t="inlineStr">
        <is>
          <t>yes-&gt;yes</t>
        </is>
      </c>
    </row>
    <row r="21">
      <c r="A21" s="2" t="n">
        <v>316</v>
      </c>
      <c r="B21" s="2" t="inlineStr">
        <is>
          <t>q_24113</t>
        </is>
      </c>
      <c r="C21" s="2" t="inlineStr">
        <is>
          <t>Mathematics -&gt; Number Theory -&gt; Prime Numbers</t>
        </is>
      </c>
      <c r="D21" s="2" t="n">
        <v>6.5</v>
      </c>
      <c r="E21" s="2" t="inlineStr">
        <is>
          <t>Let $p_i$ $(1 \leq i \leq m)$ be primes such that $p_i &lt; 2(3^{k-1})+1 $, where $k \in \mathbb{N}$. Let $a=p_1^{\alpha_1}</t>
        </is>
      </c>
      <c r="F21" s="2" t="inlineStr">
        <is>
          <t>yes</t>
        </is>
      </c>
      <c r="G21" s="2" t="inlineStr">
        <is>
          <t>Tested k=1,2 with listed primes, recognized totient</t>
        </is>
      </c>
      <c r="H21" s="2" t="inlineStr">
        <is>
          <t>yes</t>
        </is>
      </c>
      <c r="I21" s="2" t="inlineStr">
        <is>
          <t>tests small k, constructs k=2 counterexample</t>
        </is>
      </c>
      <c r="J21" s="2" t="inlineStr">
        <is>
          <t>yes-&gt;yes</t>
        </is>
      </c>
    </row>
    <row r="22">
      <c r="A22" s="2" t="n">
        <v>323</v>
      </c>
      <c r="B22" s="2" t="inlineStr">
        <is>
          <t>q_21942</t>
        </is>
      </c>
      <c r="C22" s="2" t="inlineStr">
        <is>
          <t>Mathematics -&gt; Geometry -&gt; Differential Geometry -&gt; Manifolds</t>
        </is>
      </c>
      <c r="D22" s="2" t="n">
        <v>8.5</v>
      </c>
      <c r="E22" s="2" t="inlineStr">
        <is>
          <t>Determine the fundamental group of the space $P_n$ for $n &gt; 2$, where $P_n$ is constructed by taking $P_{n-1}$ and adjoi</t>
        </is>
      </c>
      <c r="F22" s="2" t="inlineStr">
        <is>
          <t>yes</t>
        </is>
      </c>
      <c r="G22" s="2" t="inlineStr">
        <is>
          <t>wedge sum induction, van Kampen free products</t>
        </is>
      </c>
      <c r="H22" s="2" t="inlineStr">
        <is>
          <t>yes</t>
        </is>
      </c>
      <c r="I22" s="2" t="inlineStr">
        <is>
          <t>induction, Seifert-van Kampen, free product F_{n-1}*Z</t>
        </is>
      </c>
      <c r="J22" s="2" t="inlineStr">
        <is>
          <t>yes-&gt;yes</t>
        </is>
      </c>
    </row>
    <row r="23">
      <c r="A23" s="2" t="n">
        <v>325</v>
      </c>
      <c r="B23" s="2" t="inlineStr">
        <is>
          <t>q_7672</t>
        </is>
      </c>
      <c r="C23" s="2" t="inlineStr">
        <is>
          <t>Mathematics -&gt; Algebra -&gt; Abstract Algebra -&gt; Group Theory</t>
        </is>
      </c>
      <c r="D23" s="2" t="n">
        <v>9</v>
      </c>
      <c r="E23" s="2" t="inlineStr">
        <is>
          <t>Determine the character \( \lambda \) that defines the canonical bundle \( \omega_{G/B} \) on the flag variety \( G/B \)</t>
        </is>
      </c>
      <c r="F23" s="2" t="inlineStr">
        <is>
          <t>yes</t>
        </is>
      </c>
      <c r="G23" s="2" t="inlineStr">
        <is>
          <t>identified g/b tangent space, summed weights, dualized determinant</t>
        </is>
      </c>
      <c r="H23" s="2" t="inlineStr">
        <is>
          <t>yes</t>
        </is>
      </c>
      <c r="I23" s="2" t="inlineStr">
        <is>
          <t>tangent g/b, weight sum 2rho, dual determinant gives -2rho</t>
        </is>
      </c>
      <c r="J23" s="2" t="inlineStr">
        <is>
          <t>yes-&gt;yes</t>
        </is>
      </c>
    </row>
    <row r="24">
      <c r="A24" s="2" t="n">
        <v>331</v>
      </c>
      <c r="B24" s="2" t="inlineStr">
        <is>
          <t>q_46227</t>
        </is>
      </c>
      <c r="C24" s="2" t="inlineStr">
        <is>
          <t>Mathematics -&gt; Algebra -&gt; Abstract Algebra -&gt; Group Theory</t>
        </is>
      </c>
      <c r="D24" s="2" t="n">
        <v>5.5</v>
      </c>
      <c r="E24" s="2" t="inlineStr">
        <is>
          <t>Determine the size of the conjugacy class of a 2+2+1 cycle in the alternating group A5.</t>
        </is>
      </c>
      <c r="F24" s="2" t="inlineStr">
        <is>
          <t>yes</t>
        </is>
      </c>
      <c r="G24" s="2" t="inlineStr">
        <is>
          <t>computed S5 class size, applied splitting criterion, kept size</t>
        </is>
      </c>
      <c r="H24" s="2" t="inlineStr">
        <is>
          <t>yes</t>
        </is>
      </c>
      <c r="I24" s="2" t="inlineStr">
        <is>
          <t>S5 formula then splitting criterion, size unchanged</t>
        </is>
      </c>
      <c r="J24" s="2" t="inlineStr">
        <is>
          <t>yes-&gt;yes</t>
        </is>
      </c>
    </row>
    <row r="25">
      <c r="A25" s="2" t="n">
        <v>341</v>
      </c>
      <c r="B25" s="2" t="inlineStr">
        <is>
          <t>q_19615</t>
        </is>
      </c>
      <c r="C25" s="2" t="inlineStr">
        <is>
          <t>Mathematics -&gt; Calculus -&gt; Integral Calculus -&gt; Techniques of Integration -&gt; Multi-variable</t>
        </is>
      </c>
      <c r="D25" s="2" t="n">
        <v>8</v>
      </c>
      <c r="E25" s="2" t="inlineStr">
        <is>
          <t>Find the Cauchy principal value of the integral \( \int_{-\infty}^{\infty}\frac{x}{(x^2+4)(x^2-2x+5)}\,dx \) using the m</t>
        </is>
      </c>
      <c r="F25" s="2" t="inlineStr">
        <is>
          <t>unclear</t>
        </is>
      </c>
      <c r="G25" s="2" t="inlineStr">
        <is>
          <t>starts residues, abandons, switches to partial fractions</t>
        </is>
      </c>
      <c r="H25" s="2" t="inlineStr">
        <is>
          <t>yes</t>
        </is>
      </c>
      <c r="I25" s="2" t="inlineStr">
        <is>
          <t>UHP poles, factored residues, 2*pi*i sum, real result</t>
        </is>
      </c>
      <c r="J25" s="2" t="inlineStr">
        <is>
          <t>unclear-&gt;yes</t>
        </is>
      </c>
    </row>
    <row r="26">
      <c r="A26" s="2" t="n">
        <v>353</v>
      </c>
      <c r="B26" s="2" t="inlineStr">
        <is>
          <t>q_93913</t>
        </is>
      </c>
      <c r="C26" s="2" t="inlineStr">
        <is>
          <t>Mathematics -&gt; Algebra -&gt; Algebra -&gt; Polynomial Operations</t>
        </is>
      </c>
      <c r="D26" s="2" t="n">
        <v>5</v>
      </c>
      <c r="E26" s="2" t="inlineStr">
        <is>
          <t>Find the product of the uncommon real roots of the polynomials \( x^4 + 2x^3 - 8x^2 - 6x + 15 \) and \( x^3 + 4x^2 - x -</t>
        </is>
      </c>
      <c r="F26" s="2" t="inlineStr">
        <is>
          <t>yes</t>
        </is>
      </c>
      <c r="G26" s="2" t="inlineStr">
        <is>
          <t>factored cubic first, tested its roots against quartic</t>
        </is>
      </c>
      <c r="H26" s="2" t="inlineStr">
        <is>
          <t>yes</t>
        </is>
      </c>
      <c r="I26" s="2" t="inlineStr">
        <is>
          <t>cubic first, undetermined coefficients quartic, symmetric difference of roots</t>
        </is>
      </c>
      <c r="J26" s="2" t="inlineStr">
        <is>
          <t>yes-&gt;yes</t>
        </is>
      </c>
    </row>
    <row r="27">
      <c r="A27" s="2" t="n">
        <v>380</v>
      </c>
      <c r="B27" s="2" t="inlineStr">
        <is>
          <t>q_71820</t>
        </is>
      </c>
      <c r="C27" s="2" t="inlineStr">
        <is>
          <t>Mathematics -&gt; Other</t>
        </is>
      </c>
      <c r="D27" s="2" t="n">
        <v>8.5</v>
      </c>
      <c r="E27" s="2" t="inlineStr">
        <is>
          <t>Determine whether the inequality \( \||f|^{2}f\|_{H^{s}} \leq C \|f\|^{2}_{L^{\infty}} \|f\|_{H^{s}} \) holds for \( s&gt;0</t>
        </is>
      </c>
      <c r="F27" s="2" t="inlineStr">
        <is>
          <t>yes</t>
        </is>
      </c>
      <c r="G27" s="2" t="inlineStr">
        <is>
          <t>Kato-Ponce applied iteratively to decomposed product</t>
        </is>
      </c>
      <c r="H27" s="2" t="inlineStr">
        <is>
          <t>yes</t>
        </is>
      </c>
      <c r="I27" s="2" t="inlineStr">
        <is>
          <t>iterative Kato-Ponce decomposition of cubic nonlinearity</t>
        </is>
      </c>
      <c r="J27" s="2" t="inlineStr">
        <is>
          <t>yes-&gt;yes</t>
        </is>
      </c>
    </row>
    <row r="28">
      <c r="A28" s="2" t="n">
        <v>381</v>
      </c>
      <c r="B28" s="2" t="inlineStr">
        <is>
          <t>q_42302</t>
        </is>
      </c>
      <c r="C28" s="2" t="inlineStr">
        <is>
          <t>Mathematics -&gt; Algebra -&gt; Algebra -&gt; Equations and Inequalities</t>
        </is>
      </c>
      <c r="D28" s="2" t="n">
        <v>5.5</v>
      </c>
      <c r="E28" s="2" t="inlineStr">
        <is>
          <t>Determine whether the inequality \(|x + y|^\alpha \leq |x|^\alpha + |y|^\alpha\) holds for all real numbers \(x\) and \(</t>
        </is>
      </c>
      <c r="F28" s="2" t="inlineStr">
        <is>
          <t>yes</t>
        </is>
      </c>
      <c r="G28" s="2" t="inlineStr">
        <is>
          <t>Triangle inequality plus power, subadditivity via concavity, tested alpha=0</t>
        </is>
      </c>
      <c r="H28" s="2" t="inlineStr">
        <is>
          <t>yes</t>
        </is>
      </c>
      <c r="I28" s="2" t="inlineStr">
        <is>
          <t>triangle inequality plus g(y) normalization derivative check</t>
        </is>
      </c>
      <c r="J28" s="2" t="inlineStr">
        <is>
          <t>yes-&gt;yes</t>
        </is>
      </c>
    </row>
    <row r="29">
      <c r="A29" s="2" t="n">
        <v>387</v>
      </c>
      <c r="B29" s="2" t="inlineStr">
        <is>
          <t>q_9581</t>
        </is>
      </c>
      <c r="C29" s="2" t="inlineStr">
        <is>
          <t>Mathematics -&gt; Calculus -&gt; Integral Calculus -&gt; Techniques of Integration -&gt; Single-variable</t>
        </is>
      </c>
      <c r="D29" s="2" t="n">
        <v>7</v>
      </c>
      <c r="E29" s="2" t="inlineStr">
        <is>
          <t>Determine the interval of convergence for the series \( \sum_{n=1}^{\infty} (1+\frac{1}{n})^{-n^2}e^{-nx} \).</t>
        </is>
      </c>
      <c r="F29" s="2" t="inlineStr">
        <is>
          <t>yes</t>
        </is>
      </c>
      <c r="G29" s="2" t="inlineStr">
        <is>
          <t>root test, exponential-log Taylor expansion, endpoint divergence check</t>
        </is>
      </c>
      <c r="H29" s="2" t="inlineStr">
        <is>
          <t>yes</t>
        </is>
      </c>
      <c r="I29" s="2" t="inlineStr">
        <is>
          <t>Root Test, then Taylor-expanded endpoint divergence check</t>
        </is>
      </c>
      <c r="J29" s="2" t="inlineStr">
        <is>
          <t>yes-&gt;yes</t>
        </is>
      </c>
    </row>
    <row r="30">
      <c r="A30" s="2" t="n">
        <v>395</v>
      </c>
      <c r="B30" s="2" t="inlineStr">
        <is>
          <t>q_38305</t>
        </is>
      </c>
      <c r="C30" s="2" t="inlineStr">
        <is>
          <t>Mathematics -&gt; Algebra -&gt; Abstract Algebra -&gt; Ring Theory</t>
        </is>
      </c>
      <c r="D30" s="2" t="n">
        <v>8</v>
      </c>
      <c r="E30" s="2" t="inlineStr">
        <is>
          <t>Let $A$ be an integral domain such that every element $a \in A$ generates a finite subring. Is $A$ necessarily commutati</t>
        </is>
      </c>
      <c r="F30" s="2" t="inlineStr">
        <is>
          <t>yes</t>
        </is>
      </c>
      <c r="G30" s="2" t="inlineStr">
        <is>
          <t>two-generator finite subring, Wedderburn field, commutativity</t>
        </is>
      </c>
      <c r="H30" s="2" t="inlineStr">
        <is>
          <t>unclear</t>
        </is>
      </c>
      <c r="I30" s="2" t="inlineStr">
        <is>
          <t>starts subring and characteristic steps, garbled field jump</t>
        </is>
      </c>
      <c r="J30" s="2" t="inlineStr">
        <is>
          <t>yes-&gt;unclear</t>
        </is>
      </c>
    </row>
    <row r="31">
      <c r="A31" s="2" t="n">
        <v>404</v>
      </c>
      <c r="B31" s="2" t="inlineStr">
        <is>
          <t>q_38004</t>
        </is>
      </c>
      <c r="C31" s="2" t="inlineStr">
        <is>
          <t>Mathematics -&gt; Algebra -&gt; Intermediate Algebra -&gt; Complex Numbers</t>
        </is>
      </c>
      <c r="D31" s="2" t="n">
        <v>7.5</v>
      </c>
      <c r="E31" s="2" t="inlineStr">
        <is>
          <t>Find the complex function $f(z)$ satisfying the condition $\Im(f'(z)) = 6x(2y - 1)$, where $z = x + iy$, with initial co</t>
        </is>
      </c>
      <c r="F31" s="2" t="inlineStr">
        <is>
          <t>yes</t>
        </is>
      </c>
      <c r="G31" s="2" t="inlineStr">
        <is>
          <t>v_x identification, integration, Cauchy-Riemann, initial-condition decomposition</t>
        </is>
      </c>
      <c r="H31" s="2" t="inlineStr">
        <is>
          <t>yes</t>
        </is>
      </c>
      <c r="I31" s="2" t="inlineStr">
        <is>
          <t>v_x identified, integrated, Cauchy-Riemann, decomposed initial conditions</t>
        </is>
      </c>
      <c r="J31" s="2" t="inlineStr">
        <is>
          <t>yes-&gt;yes</t>
        </is>
      </c>
    </row>
    <row r="32">
      <c r="A32" s="2" t="n">
        <v>416</v>
      </c>
      <c r="B32" s="2" t="inlineStr">
        <is>
          <t>q_74325</t>
        </is>
      </c>
      <c r="C32" s="2" t="inlineStr">
        <is>
          <t>Mathematics -&gt; Applied Mathematics -&gt; Statistics -&gt; Probability -&gt; Other</t>
        </is>
      </c>
      <c r="D32" s="2" t="n">
        <v>5.5</v>
      </c>
      <c r="E32" s="2" t="inlineStr">
        <is>
          <t>A radioactive element decays according to a Poisson process with a rate of $10,000$ decays per second. Calculate the app</t>
        </is>
      </c>
      <c r="F32" s="2" t="inlineStr">
        <is>
          <t>yes</t>
        </is>
      </c>
      <c r="G32" s="2" t="inlineStr">
        <is>
          <t>duality principle, normal approximation with continuity correction</t>
        </is>
      </c>
      <c r="H32" s="2" t="inlineStr">
        <is>
          <t>yes</t>
        </is>
      </c>
      <c r="I32" s="2" t="inlineStr">
        <is>
          <t>duality principle, normal approximation, continuity correction</t>
        </is>
      </c>
      <c r="J32" s="2" t="inlineStr">
        <is>
          <t>yes-&gt;yes</t>
        </is>
      </c>
    </row>
    <row r="33">
      <c r="A33" s="2" t="n">
        <v>453</v>
      </c>
      <c r="B33" s="2" t="inlineStr">
        <is>
          <t>q_93509</t>
        </is>
      </c>
      <c r="C33" s="2" t="inlineStr">
        <is>
          <t>Mathematics -&gt; Geometry -&gt; Plane Geometry -&gt; Triangulations</t>
        </is>
      </c>
      <c r="D33" s="2" t="n">
        <v>5.5</v>
      </c>
      <c r="E33" s="2" t="inlineStr">
        <is>
          <t>In an equilateral triangle \( ABC \) with side length 1, points \( D \) and \( E \) are located on sides \( AB \) and \(</t>
        </is>
      </c>
      <c r="F33" s="2" t="inlineStr">
        <is>
          <t>unclear</t>
        </is>
      </c>
      <c r="G33" s="2" t="inlineStr">
        <is>
          <t>mentions perpendicular bisector, coordinates, but no discriminant minimization; case guessing</t>
        </is>
      </c>
      <c r="H33" s="2" t="inlineStr">
        <is>
          <t>yes</t>
        </is>
      </c>
      <c r="I33" s="2" t="inlineStr">
        <is>
          <t>Reflection constraint quadratic, minimum at discriminant zero</t>
        </is>
      </c>
      <c r="J33" s="2" t="inlineStr">
        <is>
          <t>unclear-&gt;yes</t>
        </is>
      </c>
    </row>
    <row r="34">
      <c r="A34" s="2" t="n">
        <v>461</v>
      </c>
      <c r="B34" s="2" t="inlineStr">
        <is>
          <t>q_98986</t>
        </is>
      </c>
      <c r="C34" s="2" t="inlineStr">
        <is>
          <t>Mathematics -&gt; Geometry -&gt; Plane Geometry -&gt; Polygons</t>
        </is>
      </c>
      <c r="D34" s="2" t="n">
        <v>5</v>
      </c>
      <c r="E34" s="2" t="inlineStr">
        <is>
          <t>In convex hexagon $ABCDEF$, all six sides are congruent, $\angle A$ and $\angle D$ are right angles, and  $\angle B$, $\</t>
        </is>
      </c>
      <c r="F34" s="2" t="inlineStr">
        <is>
          <t>unclear</t>
        </is>
      </c>
      <c r="G34" s="2" t="inlineStr">
        <is>
          <t>angle sum done, coordinate approach abandoned, truncated without answer</t>
        </is>
      </c>
      <c r="H34" s="2" t="inlineStr">
        <is>
          <t>yes</t>
        </is>
      </c>
      <c r="I34" s="2" t="inlineStr">
        <is>
          <t>angle sum then coordinate vertex construction, s^2 matching</t>
        </is>
      </c>
      <c r="J34" s="2" t="inlineStr">
        <is>
          <t>unclear-&gt;yes</t>
        </is>
      </c>
    </row>
    <row r="35">
      <c r="A35" s="2" t="n">
        <v>483</v>
      </c>
      <c r="B35" s="2" t="inlineStr">
        <is>
          <t>q_1729</t>
        </is>
      </c>
      <c r="C35" s="2" t="inlineStr">
        <is>
          <t>Mathematics -&gt; Calculus -&gt; Integral Calculus -&gt; Techniques of Integration -&gt; Multi-variable</t>
        </is>
      </c>
      <c r="D35" s="2" t="n">
        <v>8</v>
      </c>
      <c r="E35" s="2" t="inlineStr">
        <is>
          <t>Evaluate the integral \( \int_{-\pi}^{\pi} \frac{d\theta}{1 + \sin^2 \theta} \) using the method of residues.</t>
        </is>
      </c>
      <c r="F35" s="2" t="inlineStr">
        <is>
          <t>unclear</t>
        </is>
      </c>
      <c r="G35" s="2" t="inlineStr">
        <is>
          <t>started z=e^{iθ} residue method, abandoned, truncated mid-solution</t>
        </is>
      </c>
      <c r="H35" s="2" t="inlineStr">
        <is>
          <t>yes</t>
        </is>
      </c>
      <c r="I35" s="2" t="inlineStr">
        <is>
          <t>z=e^{i	heta} contour substitution, poles inside circle, P/Q' residues</t>
        </is>
      </c>
      <c r="J35" s="2" t="inlineStr">
        <is>
          <t>unclear-&gt;yes</t>
        </is>
      </c>
    </row>
    <row r="36">
      <c r="A36" s="2" t="n">
        <v>493</v>
      </c>
      <c r="B36" s="2" t="inlineStr">
        <is>
          <t>q_36449</t>
        </is>
      </c>
      <c r="C36" s="2" t="inlineStr">
        <is>
          <t>Mathematics -&gt; Calculus -&gt; Differential Calculus -&gt; Derivatives</t>
        </is>
      </c>
      <c r="D36" s="2" t="n">
        <v>5</v>
      </c>
      <c r="E36" s="2" t="inlineStr">
        <is>
          <t xml:space="preserve">Find the value of the third derivative \( y''' \) at \( x = 1 \) for the function defined by the equation \( x^2 + xy + </t>
        </is>
      </c>
      <c r="F36" s="2" t="inlineStr">
        <is>
          <t>yes</t>
        </is>
      </c>
      <c r="G36" s="2" t="inlineStr">
        <is>
          <t>Solved y(1)=0 first, equation-based differentiate-then-substitute</t>
        </is>
      </c>
      <c r="H36" s="2" t="inlineStr">
        <is>
          <t>yes</t>
        </is>
      </c>
      <c r="I36" s="2" t="inlineStr">
        <is>
          <t>solved y(1) first, differentiate-then-substitute each level</t>
        </is>
      </c>
      <c r="J36" s="2" t="inlineStr">
        <is>
          <t>yes-&gt;yes</t>
        </is>
      </c>
    </row>
    <row r="37">
      <c r="A37" s="2" t="n">
        <v>494</v>
      </c>
      <c r="B37" s="2" t="inlineStr">
        <is>
          <t>q_16399</t>
        </is>
      </c>
      <c r="C37" s="2" t="inlineStr">
        <is>
          <t>Mathematics -&gt; Algebra -&gt; Linear Algebra -&gt; Vectors</t>
        </is>
      </c>
      <c r="D37" s="2" t="n">
        <v>6.5</v>
      </c>
      <c r="E37" s="2" t="inlineStr">
        <is>
          <t xml:space="preserve">A vector in 110-dimensional Euclidean space $\mathbf{R}^{110}$ makes equal acute angles with the positive directions of </t>
        </is>
      </c>
      <c r="F37" s="2" t="inlineStr">
        <is>
          <t>yes</t>
        </is>
      </c>
      <c r="G37" s="2" t="inlineStr">
        <is>
          <t>Symmetric vector, cos=1/sqrt(n), linear approximation near 90</t>
        </is>
      </c>
      <c r="H37" s="2" t="inlineStr">
        <is>
          <t>yes</t>
        </is>
      </c>
      <c r="I37" s="2" t="inlineStr">
        <is>
          <t>symmetric vector, cos=1/sqrt(110), near-90 linear approximation</t>
        </is>
      </c>
      <c r="J37" s="2" t="inlineStr">
        <is>
          <t>yes-&gt;yes</t>
        </is>
      </c>
    </row>
    <row r="38">
      <c r="A38" s="2" t="n">
        <v>515</v>
      </c>
      <c r="B38" s="2" t="inlineStr">
        <is>
          <t>q_28335</t>
        </is>
      </c>
      <c r="C38" s="2" t="inlineStr">
        <is>
          <t>Mathematics -&gt; Calculus -&gt; Differential Calculus -&gt; Applications of Derivatives</t>
        </is>
      </c>
      <c r="D38" s="2" t="n">
        <v>4</v>
      </c>
      <c r="E38" s="2" t="inlineStr">
        <is>
          <t>Determine whether the sequence of functions \( f_n(x) = \left(x - \frac{1}{n}\right)^2 \) converges pointwise on the int</t>
        </is>
      </c>
      <c r="F38" s="2" t="inlineStr">
        <is>
          <t>yes</t>
        </is>
      </c>
      <c r="G38" s="2" t="inlineStr">
        <is>
          <t>fixed x, passed limit inside, checked both boundaries</t>
        </is>
      </c>
      <c r="H38" s="2" t="inlineStr">
        <is>
          <t>yes</t>
        </is>
      </c>
      <c r="I38" s="2" t="inlineStr">
        <is>
          <t>fixed x, passed limit inside by continuity</t>
        </is>
      </c>
      <c r="J38" s="2" t="inlineStr">
        <is>
          <t>yes-&gt;yes</t>
        </is>
      </c>
    </row>
    <row r="39">
      <c r="A39" s="2" t="n">
        <v>520</v>
      </c>
      <c r="B39" s="2" t="inlineStr">
        <is>
          <t>q_53865</t>
        </is>
      </c>
      <c r="C39" s="2" t="inlineStr">
        <is>
          <t>Mathematics -&gt; Calculus -&gt; Differential Calculus -&gt; Derivatives</t>
        </is>
      </c>
      <c r="D39" s="2" t="n">
        <v>6.5</v>
      </c>
      <c r="E39" s="2" t="inlineStr">
        <is>
          <t>Determine if the function \(g(x,y) = (x^2+y^2) \cos(1/\sqrt{x^2+y^2})\) is differentiable at the point \((0,0)\) using t</t>
        </is>
      </c>
      <c r="F39" s="2" t="inlineStr">
        <is>
          <t>yes</t>
        </is>
      </c>
      <c r="G39" s="2" t="inlineStr">
        <is>
          <t>limit-definition partials, squeeze theorem, remainder quotient check</t>
        </is>
      </c>
      <c r="H39" s="2" t="inlineStr">
        <is>
          <t>yes</t>
        </is>
      </c>
      <c r="I39" s="2" t="inlineStr">
        <is>
          <t>limit-definition partials, squeeze, remainder over norm check</t>
        </is>
      </c>
      <c r="J39" s="2" t="inlineStr">
        <is>
          <t>yes-&gt;yes</t>
        </is>
      </c>
    </row>
    <row r="40">
      <c r="A40" s="2" t="n">
        <v>525</v>
      </c>
      <c r="B40" s="2" t="inlineStr">
        <is>
          <t>q_73023</t>
        </is>
      </c>
      <c r="C40" s="2" t="inlineStr">
        <is>
          <t>Mathematics -&gt; Calculus -&gt; Differential Calculus -&gt; Other</t>
        </is>
      </c>
      <c r="D40" s="2" t="n">
        <v>5</v>
      </c>
      <c r="E40" s="2" t="inlineStr">
        <is>
          <t>Find the radius of convergence of the series \(\sum_{k=1}^{\infty} \frac{3^n}{z^n+z^{-n}}\) using the ratio test.</t>
        </is>
      </c>
      <c r="F40" s="2" t="inlineStr">
        <is>
          <t>yes</t>
        </is>
      </c>
      <c r="G40" s="2" t="inlineStr">
        <is>
          <t>ratio test on full term, |z| case split, factoring</t>
        </is>
      </c>
      <c r="H40" s="2" t="inlineStr">
        <is>
          <t>yes</t>
        </is>
      </c>
      <c r="I40" s="2" t="inlineStr">
        <is>
          <t>bifurcated |z| cases, dominant-term factoring, annulus found</t>
        </is>
      </c>
      <c r="J40" s="2" t="inlineStr">
        <is>
          <t>yes-&gt;yes</t>
        </is>
      </c>
    </row>
    <row r="41">
      <c r="A41" s="2" t="n">
        <v>532</v>
      </c>
      <c r="B41" s="2" t="inlineStr">
        <is>
          <t>q_72445</t>
        </is>
      </c>
      <c r="C41" s="2" t="inlineStr">
        <is>
          <t>Mathematics -&gt; Discrete Mathematics -&gt; Logic</t>
        </is>
      </c>
      <c r="D41" s="2" t="n">
        <v>8</v>
      </c>
      <c r="E41" s="2" t="inlineStr">
        <is>
          <t xml:space="preserve">Determine whether the following statement is true or false: For three independent uniform distributions $X, Y$, and $Z$ </t>
        </is>
      </c>
      <c r="F41" s="2" t="inlineStr">
        <is>
          <t>yes</t>
        </is>
      </c>
      <c r="G41" s="2" t="inlineStr">
        <is>
          <t>edge-case functions, chain rule, independent-copy spreading principle</t>
        </is>
      </c>
      <c r="H41" s="2" t="inlineStr">
        <is>
          <t>yes</t>
        </is>
      </c>
      <c r="I41" s="2" t="inlineStr">
        <is>
          <t>Chain rule decomposition, independence-raises-entropy comparison</t>
        </is>
      </c>
      <c r="J41" s="2" t="inlineStr">
        <is>
          <t>yes-&gt;yes</t>
        </is>
      </c>
    </row>
    <row r="42">
      <c r="A42" s="2" t="n">
        <v>543</v>
      </c>
      <c r="B42" s="2" t="inlineStr">
        <is>
          <t>q_598</t>
        </is>
      </c>
      <c r="C42" s="2" t="inlineStr">
        <is>
          <t>Mathematics -&gt; Discrete Mathematics -&gt; Combinatorics</t>
        </is>
      </c>
      <c r="D42" s="2" t="n">
        <v>5.5</v>
      </c>
      <c r="E42" s="2" t="inlineStr">
        <is>
          <t>Find the number of 1's in the binary representation of the 1717th term in the sequence of positive integers whose binary</t>
        </is>
      </c>
      <c r="F42" s="2" t="inlineStr">
        <is>
          <t>yes</t>
        </is>
      </c>
      <c r="G42" s="2" t="inlineStr">
        <is>
          <t>length partition, prefix index mapping, symmetric bit-count</t>
        </is>
      </c>
      <c r="H42" s="2" t="inlineStr">
        <is>
          <t>yes</t>
        </is>
      </c>
      <c r="I42" s="2" t="inlineStr">
        <is>
          <t>length partition, cumulative sums, prefix mapping, weight symmetry</t>
        </is>
      </c>
      <c r="J42" s="2" t="inlineStr">
        <is>
          <t>yes-&gt;yes</t>
        </is>
      </c>
    </row>
    <row r="43">
      <c r="A43" s="2" t="n">
        <v>606</v>
      </c>
      <c r="B43" s="2" t="inlineStr">
        <is>
          <t>q_67892</t>
        </is>
      </c>
      <c r="C43" s="2" t="inlineStr">
        <is>
          <t>Mathematics -&gt; Applied Mathematics -&gt; Statistics -&gt; Probability -&gt; Other</t>
        </is>
      </c>
      <c r="D43" s="2" t="n">
        <v>6</v>
      </c>
      <c r="E43" s="2" t="inlineStr">
        <is>
          <t>Given the probability density function $f(x) = ax\sin(x)e^{-x}$ for $0 &lt; x &lt; \infty$, where $f(x) = 0$ otherwise, and th</t>
        </is>
      </c>
      <c r="F43" s="2" t="inlineStr">
        <is>
          <t>yes</t>
        </is>
      </c>
      <c r="G43" s="2" t="inlineStr">
        <is>
          <t>complexification with Laplace identity, modular I_n, computed aI_2</t>
        </is>
      </c>
      <c r="H43" s="2" t="inlineStr">
        <is>
          <t>yes</t>
        </is>
      </c>
      <c r="I43" s="2" t="inlineStr">
        <is>
          <t>complexification e^{ix}, Laplace identity n!/p^{n+1}</t>
        </is>
      </c>
      <c r="J43" s="2" t="inlineStr">
        <is>
          <t>yes-&gt;yes</t>
        </is>
      </c>
    </row>
    <row r="44">
      <c r="A44" s="2" t="n">
        <v>626</v>
      </c>
      <c r="B44" s="2" t="inlineStr">
        <is>
          <t>q_76693</t>
        </is>
      </c>
      <c r="C44" s="2" t="inlineStr">
        <is>
          <t>Mathematics -&gt; Calculus -&gt; Differential Calculus -&gt; Derivatives</t>
        </is>
      </c>
      <c r="D44" s="2" t="n">
        <v>5</v>
      </c>
      <c r="E44" s="2" t="inlineStr">
        <is>
          <t>Given that $f$ is an infinitely differentiable function satisfying the limit condition:  $$\lim_{x\to 0}\frac{3f(x)-2x^3</t>
        </is>
      </c>
      <c r="F44" s="2" t="inlineStr">
        <is>
          <t>yes</t>
        </is>
      </c>
      <c r="G44" s="2" t="inlineStr">
        <is>
          <t>Maclaurin expansion, coefficient vanishing up to x^3</t>
        </is>
      </c>
      <c r="H44" s="2" t="inlineStr">
        <is>
          <t>yes</t>
        </is>
      </c>
      <c r="I44" s="2" t="inlineStr">
        <is>
          <t>Maclaurin expansions, vanishing-coefficient matching for derivatives</t>
        </is>
      </c>
      <c r="J44" s="2" t="inlineStr">
        <is>
          <t>yes-&gt;yes</t>
        </is>
      </c>
    </row>
    <row r="45">
      <c r="A45" s="2" t="n">
        <v>630</v>
      </c>
      <c r="B45" s="2" t="inlineStr">
        <is>
          <t>q_57585</t>
        </is>
      </c>
      <c r="C45" s="2" t="inlineStr">
        <is>
          <t>Mathematics -&gt; Other</t>
        </is>
      </c>
      <c r="D45" s="2" t="n">
        <v>5.5</v>
      </c>
      <c r="E45" s="2" t="inlineStr">
        <is>
          <t>Given two sequences of real numbers, $\{x_n\}_{n \geq 1}$ and $\{y_n\}_{n \geq 1}$, such that $x_n^3 - y_n^3 \to 0$ as $</t>
        </is>
      </c>
      <c r="F45" s="2" t="inlineStr">
        <is>
          <t>unclear</t>
        </is>
      </c>
      <c r="G45" s="2" t="inlineStr">
        <is>
          <t>ran factorization-subsequence argument but concluded opposite via counterexamples</t>
        </is>
      </c>
      <c r="H45" s="2" t="inlineStr">
        <is>
          <t>yes</t>
        </is>
      </c>
      <c r="I45" s="2" t="inlineStr">
        <is>
          <t>Completed square on residual factor, used subsequence contradiction</t>
        </is>
      </c>
      <c r="J45" s="2" t="inlineStr">
        <is>
          <t>unclear-&gt;yes</t>
        </is>
      </c>
    </row>
    <row r="46">
      <c r="A46" s="2" t="n">
        <v>636</v>
      </c>
      <c r="B46" s="2" t="inlineStr">
        <is>
          <t>q_92620</t>
        </is>
      </c>
      <c r="C46" s="2" t="inlineStr">
        <is>
          <t>Mathematics -&gt; Applied Mathematics -&gt; Statistics -&gt; Probability -&gt; Counting Methods -&gt; Combinations</t>
        </is>
      </c>
      <c r="D46" s="2" t="n">
        <v>5</v>
      </c>
      <c r="E46" s="2" t="inlineStr">
        <is>
          <t>Patchouli is taking an exam with $k &gt; 1$ parts, numbered Part $1, 2, \dots, k$. For $i = 1, 2, \dots, k$, Part $i$ conta</t>
        </is>
      </c>
      <c r="F46" s="2" t="inlineStr">
        <is>
          <t>unclear</t>
        </is>
      </c>
      <c r="G46" s="2" t="inlineStr">
        <is>
          <t>used odds identity, botched sum, final answer disconnected</t>
        </is>
      </c>
      <c r="H46" s="2" t="inlineStr">
        <is>
          <t>yes</t>
        </is>
      </c>
      <c r="I46" s="2" t="inlineStr">
        <is>
          <t>Used P1=P0*sum odds identity, group contributions, triangular number</t>
        </is>
      </c>
      <c r="J46" s="2" t="inlineStr">
        <is>
          <t>unclear-&gt;yes</t>
        </is>
      </c>
    </row>
    <row r="47">
      <c r="A47" s="2" t="n">
        <v>641</v>
      </c>
      <c r="B47" s="2" t="inlineStr">
        <is>
          <t>q_70726</t>
        </is>
      </c>
      <c r="C47" s="2" t="inlineStr">
        <is>
          <t>Mathematics -&gt; Calculus -&gt; Integral Calculus -&gt; Applications of Integrals</t>
        </is>
      </c>
      <c r="D47" s="2" t="n">
        <v>7</v>
      </c>
      <c r="E47" s="2" t="inlineStr">
        <is>
          <t>Calculate the integral \( \int_{0}^{1} f(x) \, dx \) for a function \( f \), where \( f \) is continuous on \([0,1]\), \</t>
        </is>
      </c>
      <c r="F47" s="2" t="inlineStr">
        <is>
          <t>unclear</t>
        </is>
      </c>
      <c r="G47" s="2" t="inlineStr">
        <is>
          <t>started representer construction, abandoned into ansatz guesses, unfounded answer</t>
        </is>
      </c>
      <c r="H47" s="2" t="inlineStr">
        <is>
          <t>yes</t>
        </is>
      </c>
      <c r="I47" s="2" t="inlineStr">
        <is>
          <t>solved representer ODE, span assumption, quadratic for coefficients</t>
        </is>
      </c>
      <c r="J47" s="2" t="inlineStr">
        <is>
          <t>unclear-&gt;yes</t>
        </is>
      </c>
    </row>
    <row r="48">
      <c r="A48" s="2" t="n">
        <v>648</v>
      </c>
      <c r="B48" s="2" t="inlineStr">
        <is>
          <t>q_65746</t>
        </is>
      </c>
      <c r="C48" s="2" t="inlineStr">
        <is>
          <t>Mathematics -&gt; Calculus -&gt; Integral Calculus -&gt; Techniques of Integration -&gt; Multi-variable</t>
        </is>
      </c>
      <c r="D48" s="2" t="n">
        <v>7</v>
      </c>
      <c r="E48" s="2" t="inlineStr">
        <is>
          <t>Given the vector field $\mathbf{F}: \mathbb{R}^2 \setminus\{(0,0)\} \to \mathbb{R}^2$ defined by $\mathbf{F}(x,y) = \fra</t>
        </is>
      </c>
      <c r="F48" s="2" t="inlineStr">
        <is>
          <t>yes</t>
        </is>
      </c>
      <c r="G48" s="2" t="inlineStr">
        <is>
          <t>recognizes d-theta multiple, winding-number evaluation</t>
        </is>
      </c>
      <c r="H48" s="2" t="inlineStr">
        <is>
          <t>yes</t>
        </is>
      </c>
      <c r="I48" s="2" t="inlineStr">
        <is>
          <t>identified F as -dθ, winding numbers, orientation check</t>
        </is>
      </c>
      <c r="J48" s="2" t="inlineStr">
        <is>
          <t>yes-&gt;yes</t>
        </is>
      </c>
    </row>
    <row r="49">
      <c r="A49" s="2" t="n">
        <v>665</v>
      </c>
      <c r="B49" s="2" t="inlineStr">
        <is>
          <t>q_57793</t>
        </is>
      </c>
      <c r="C49" s="2" t="inlineStr">
        <is>
          <t>Mathematics -&gt; Calculus -&gt; Integral Calculus -&gt; Techniques of Integration -&gt; Single-variable</t>
        </is>
      </c>
      <c r="D49" s="2" t="n">
        <v>6</v>
      </c>
      <c r="E49" s="2" t="inlineStr">
        <is>
          <t>Evaluate the infinite series: $$\sum_{k=1}^\infty\frac{k(k+1)(k+2)}{3!}\left(\frac{1}{3}\right)^k$$</t>
        </is>
      </c>
      <c r="F49" s="2" t="inlineStr">
        <is>
          <t>yes</t>
        </is>
      </c>
      <c r="G49" s="2" t="inlineStr">
        <is>
          <t>converted to binomial coefficient, negative binomial generating function</t>
        </is>
      </c>
      <c r="H49" s="2" t="inlineStr">
        <is>
          <t>yes</t>
        </is>
      </c>
      <c r="I49" s="2" t="inlineStr">
        <is>
          <t>Binomial coefficient conversion, index shift, negative binomial series</t>
        </is>
      </c>
      <c r="J49" s="2" t="inlineStr">
        <is>
          <t>yes-&gt;yes</t>
        </is>
      </c>
    </row>
    <row r="50">
      <c r="A50" s="2" t="n">
        <v>674</v>
      </c>
      <c r="B50" s="2" t="inlineStr">
        <is>
          <t>q_20981</t>
        </is>
      </c>
      <c r="C50" s="2" t="inlineStr">
        <is>
          <t>Mathematics -&gt; Algebra -&gt; Algebra -&gt; Equations and Inequalities</t>
        </is>
      </c>
      <c r="D50" s="2" t="n">
        <v>6</v>
      </c>
      <c r="E50" s="2" t="inlineStr">
        <is>
          <t>Find all ordered pairs \((x, y)\) of positive integers such that \(x^2 + 4y^2 = (2xy - 7)^2\).</t>
        </is>
      </c>
      <c r="F50" s="2" t="inlineStr">
        <is>
          <t>yes</t>
        </is>
      </c>
      <c r="G50" s="2" t="inlineStr">
        <is>
          <t>Quadratic in x, perfect-square discriminant, divisor analysis</t>
        </is>
      </c>
      <c r="H50" s="2" t="inlineStr">
        <is>
          <t>yes</t>
        </is>
      </c>
      <c r="I50" s="2" t="inlineStr">
        <is>
          <t>Quadratic in x, quartic discriminant square, sandwiching bounds</t>
        </is>
      </c>
      <c r="J50" s="2" t="inlineStr">
        <is>
          <t>yes-&gt;yes</t>
        </is>
      </c>
    </row>
    <row r="51">
      <c r="A51" s="2" t="n">
        <v>691</v>
      </c>
      <c r="B51" s="2" t="inlineStr">
        <is>
          <t>q_92255</t>
        </is>
      </c>
      <c r="C51" s="2" t="inlineStr">
        <is>
          <t>Mathematics -&gt; Calculus -&gt; Integral Calculus -&gt; Techniques of Integration -&gt; Single-variable</t>
        </is>
      </c>
      <c r="D51" s="2" t="n">
        <v>5.5</v>
      </c>
      <c r="E51" s="2" t="inlineStr">
        <is>
          <t>Evaluate the definite integral: $$ \int_{0}^{\frac{\pi}{2}} \frac{\sin x \, dx}{(1+\sin x)^{2}} $$</t>
        </is>
      </c>
      <c r="F51" s="2" t="inlineStr">
        <is>
          <t>yes</t>
        </is>
      </c>
      <c r="G51" s="2" t="inlineStr">
        <is>
          <t>Weierstrass substitution then linear shift u=1+t</t>
        </is>
      </c>
      <c r="H51" s="2" t="inlineStr">
        <is>
          <t>yes</t>
        </is>
      </c>
      <c r="I51" s="2" t="inlineStr">
        <is>
          <t>Weierstrass substitution then linear shift u=1+t</t>
        </is>
      </c>
      <c r="J51" s="2" t="inlineStr">
        <is>
          <t>yes-&gt;yes</t>
        </is>
      </c>
    </row>
    <row r="52">
      <c r="A52" s="2" t="n">
        <v>699</v>
      </c>
      <c r="B52" s="2" t="inlineStr">
        <is>
          <t>q_30233</t>
        </is>
      </c>
      <c r="C52" s="2" t="inlineStr">
        <is>
          <t>Mathematics -&gt; Geometry -&gt; Plane Geometry -&gt; Triangulations</t>
        </is>
      </c>
      <c r="D52" s="2" t="n">
        <v>4.5</v>
      </c>
      <c r="E52" s="2" t="inlineStr">
        <is>
          <t>In a circle with radius $R$, an equilateral triangle $ABC$ is inscribed. A line is drawn through point $C$ that intersec</t>
        </is>
      </c>
      <c r="F52" s="2" t="inlineStr">
        <is>
          <t>unclear</t>
        </is>
      </c>
      <c r="G52" s="2" t="inlineStr">
        <is>
          <t>coordinate setup started, never completed; answer unjustified</t>
        </is>
      </c>
      <c r="H52" s="2" t="inlineStr">
        <is>
          <t>yes</t>
        </is>
      </c>
      <c r="I52" s="2" t="inlineStr">
        <is>
          <t>symmetric altitude case plus power-of-point identity, card-prescribed</t>
        </is>
      </c>
      <c r="J52" s="2" t="inlineStr">
        <is>
          <t>unclear-&gt;yes</t>
        </is>
      </c>
    </row>
    <row r="53">
      <c r="A53" s="2" t="n">
        <v>708</v>
      </c>
      <c r="B53" s="2" t="inlineStr">
        <is>
          <t>q_49519</t>
        </is>
      </c>
      <c r="C53" s="2" t="inlineStr">
        <is>
          <t>Mathematics -&gt; Geometry -&gt; Plane Geometry -&gt; Triangulations</t>
        </is>
      </c>
      <c r="D53" s="2" t="n">
        <v>4</v>
      </c>
      <c r="E53" s="2" t="inlineStr">
        <is>
          <t>In triangle $ABC$, point $E$ is on side $BC$ such that $BE:EC = 3:2$. Points $D$ and $F$ are on sides $AB$ and $AC$, res</t>
        </is>
      </c>
      <c r="F53" s="2" t="inlineStr">
        <is>
          <t>yes</t>
        </is>
      </c>
      <c r="G53" s="2" t="inlineStr">
        <is>
          <t>vectors, section formula, AD=2x/AF=3x, parametric G yields ratio</t>
        </is>
      </c>
      <c r="H53" s="2" t="inlineStr">
        <is>
          <t>yes</t>
        </is>
      </c>
      <c r="I53" s="2" t="inlineStr">
        <is>
          <t>vector section formula, parametric intersection for ratio</t>
        </is>
      </c>
      <c r="J53" s="2" t="inlineStr">
        <is>
          <t>yes-&gt;yes</t>
        </is>
      </c>
    </row>
    <row r="54">
      <c r="A54" s="2" t="n">
        <v>740</v>
      </c>
      <c r="B54" s="2" t="inlineStr">
        <is>
          <t>q_60530</t>
        </is>
      </c>
      <c r="C54" s="2" t="inlineStr">
        <is>
          <t>Mathematics -&gt; Differential Equations -&gt; Ordinary Differential Equations (ODEs)</t>
        </is>
      </c>
      <c r="D54" s="2" t="n">
        <v>5.5</v>
      </c>
      <c r="E54" s="2" t="inlineStr">
        <is>
          <t>If the Wronskian of any two solutions of a second-order ordinary differential equation (ODE) is constant, does this impl</t>
        </is>
      </c>
      <c r="F54" s="2" t="inlineStr">
        <is>
          <t>yes</t>
        </is>
      </c>
      <c r="G54" s="2" t="inlineStr">
        <is>
          <t>applies Abel's identity linking Wronskian to coefficient</t>
        </is>
      </c>
      <c r="H54" s="2" t="inlineStr">
        <is>
          <t>yes</t>
        </is>
      </c>
      <c r="I54" s="2" t="inlineStr">
        <is>
          <t>applied Abel's identity W'=-pW directly</t>
        </is>
      </c>
      <c r="J54" s="2" t="inlineStr">
        <is>
          <t>yes-&gt;yes</t>
        </is>
      </c>
    </row>
    <row r="55">
      <c r="A55" s="2" t="n">
        <v>749</v>
      </c>
      <c r="B55" s="2" t="inlineStr">
        <is>
          <t>q_51687</t>
        </is>
      </c>
      <c r="C55" s="2" t="inlineStr">
        <is>
          <t>Mathematics -&gt; Geometry -&gt; Differential Geometry -&gt; Geodesics</t>
        </is>
      </c>
      <c r="D55" s="2" t="n">
        <v>8.5</v>
      </c>
      <c r="E55" s="2" t="inlineStr">
        <is>
          <t>Determine if there exists a point $p$ in the unit disk $\mathbb{D}$ such that the surface $S$ defined by \( E = G = \fra</t>
        </is>
      </c>
      <c r="F55" s="2" t="inlineStr">
        <is>
          <t>yes</t>
        </is>
      </c>
      <c r="G55" s="2" t="inlineStr">
        <is>
          <t>conformal factor, boundary-distance integral, finiteness decides completeness</t>
        </is>
      </c>
      <c r="H55" s="2" t="inlineStr">
        <is>
          <t>yes</t>
        </is>
      </c>
      <c r="I55" s="2" t="inlineStr">
        <is>
          <t>Conformal factor integral to boundary diverges, Hopf-Rinow</t>
        </is>
      </c>
      <c r="J55" s="2" t="inlineStr">
        <is>
          <t>yes-&gt;yes</t>
        </is>
      </c>
    </row>
    <row r="56">
      <c r="A56" s="2" t="n">
        <v>762</v>
      </c>
      <c r="B56" s="2" t="inlineStr">
        <is>
          <t>q_48971</t>
        </is>
      </c>
      <c r="C56" s="2" t="inlineStr">
        <is>
          <t>Mathematics -&gt; Calculus -&gt; Integral Calculus -&gt; Applications of Integrals</t>
        </is>
      </c>
      <c r="D56" s="2" t="n">
        <v>8</v>
      </c>
      <c r="E56" s="2" t="inlineStr">
        <is>
          <t>Consider a metric space $(M,d)$ and a function $f: M \rightarrow \mathbb{R}$. If $f$ is $K$-Lipschitz, determine whether</t>
        </is>
      </c>
      <c r="F56" s="2" t="inlineStr">
        <is>
          <t>yes</t>
        </is>
      </c>
      <c r="G56" s="2" t="inlineStr">
        <is>
          <t>Kantorovich-Rubinstein duality with f/K normalization</t>
        </is>
      </c>
      <c r="H56" s="2" t="inlineStr">
        <is>
          <t>yes</t>
        </is>
      </c>
      <c r="I56" s="2" t="inlineStr">
        <is>
          <t>Adopted Wasserstein-1 metric, invoked Kantorovich-Rubinstein duality</t>
        </is>
      </c>
      <c r="J56" s="2" t="inlineStr">
        <is>
          <t>yes-&gt;yes</t>
        </is>
      </c>
    </row>
    <row r="57">
      <c r="A57" s="2" t="n">
        <v>778</v>
      </c>
      <c r="B57" s="2" t="inlineStr">
        <is>
          <t>q_661</t>
        </is>
      </c>
      <c r="C57" s="2" t="inlineStr">
        <is>
          <t>Mathematics -&gt; Algebra -&gt; Algebra -&gt; Polynomial Operations</t>
        </is>
      </c>
      <c r="D57" s="2" t="n">
        <v>5</v>
      </c>
      <c r="E57" s="2" t="inlineStr">
        <is>
          <t>Find a quadratic polynomial that is orthogonal to both \( p(x) = 1 \) and \( q(x) = x \).</t>
        </is>
      </c>
      <c r="F57" s="2" t="inlineStr">
        <is>
          <t>yes</t>
        </is>
      </c>
      <c r="G57" s="2" t="inlineStr">
        <is>
          <t>undetermined coefficients, linear system on [-1,1]</t>
        </is>
      </c>
      <c r="H57" s="2" t="inlineStr">
        <is>
          <t>yes</t>
        </is>
      </c>
      <c r="I57" s="2" t="inlineStr">
        <is>
          <t>undetermined coefficients with L2 integrals on [-1,1]</t>
        </is>
      </c>
      <c r="J57" s="2" t="inlineStr">
        <is>
          <t>yes-&gt;yes</t>
        </is>
      </c>
    </row>
    <row r="58">
      <c r="A58" s="2" t="n">
        <v>779</v>
      </c>
      <c r="B58" s="2" t="inlineStr">
        <is>
          <t>q_93404</t>
        </is>
      </c>
      <c r="C58" s="2" t="inlineStr">
        <is>
          <t>Mathematics -&gt; Algebra -&gt; Intermediate Algebra -&gt; Other</t>
        </is>
      </c>
      <c r="D58" s="2" t="n">
        <v>5.5</v>
      </c>
      <c r="E58" s="2" t="inlineStr">
        <is>
          <t xml:space="preserve">Given the function \( f(n) \) defined on the set of natural numbers \(\mathbf{N}\), and satisfies:  \[ \begin{array}{l} </t>
        </is>
      </c>
      <c r="F58" s="2" t="inlineStr">
        <is>
          <t>yes</t>
        </is>
      </c>
      <c r="G58" s="2" t="inlineStr">
        <is>
          <t>residue mod 3 fixed-point digit recursion</t>
        </is>
      </c>
      <c r="H58" s="2" t="inlineStr">
        <is>
          <t>yes</t>
        </is>
      </c>
      <c r="I58" s="2" t="inlineStr">
        <is>
          <t>base-3 analysis, repunit fixed points, geometric series bound</t>
        </is>
      </c>
      <c r="J58" s="2" t="inlineStr">
        <is>
          <t>yes-&gt;yes</t>
        </is>
      </c>
    </row>
    <row r="59">
      <c r="A59" s="2" t="n">
        <v>783</v>
      </c>
      <c r="B59" s="2" t="inlineStr">
        <is>
          <t>q_91977</t>
        </is>
      </c>
      <c r="C59" s="2" t="inlineStr">
        <is>
          <t>Mathematics -&gt; Algebra -&gt; Algebra -&gt; Equations and Inequalities</t>
        </is>
      </c>
      <c r="D59" s="2" t="n">
        <v>5.5</v>
      </c>
      <c r="E59" s="2" t="inlineStr">
        <is>
          <t>Three positive real numbers \( x \), \( y \), and \( z \) satisfy the following system of equations: \[ \begin{array}{l}</t>
        </is>
      </c>
      <c r="F59" s="2" t="inlineStr">
        <is>
          <t>unclear</t>
        </is>
      </c>
      <c r="G59" s="2" t="inlineStr">
        <is>
          <t>subtracts and factors equations, then abandons for guessing; answer disconnected</t>
        </is>
      </c>
      <c r="H59" s="2" t="inlineStr">
        <is>
          <t>unclear</t>
        </is>
      </c>
      <c r="I59" s="2" t="inlineStr">
        <is>
          <t>shift and pairwise factoring started, answer from unfounded guessing</t>
        </is>
      </c>
      <c r="J59" s="2" t="inlineStr">
        <is>
          <t>unclear-&gt;unclear</t>
        </is>
      </c>
    </row>
    <row r="60">
      <c r="A60" s="2" t="n">
        <v>796</v>
      </c>
      <c r="B60" s="2" t="inlineStr">
        <is>
          <t>q_100897</t>
        </is>
      </c>
      <c r="C60" s="2" t="inlineStr">
        <is>
          <t>Mathematics -&gt; Precalculus -&gt; Trigonometric Functions</t>
        </is>
      </c>
      <c r="D60" s="2" t="n">
        <v>5</v>
      </c>
      <c r="E60" s="2" t="inlineStr">
        <is>
          <t>Find the sum of all positive real solutions  $x$ to the equation \[2\cos2x \left(\cos2x - \cos{\left( \frac{2014\pi^2}{x</t>
        </is>
      </c>
      <c r="F60" s="2" t="inlineStr">
        <is>
          <t>yes</t>
        </is>
      </c>
      <c r="G60" s="2" t="inlineStr">
        <is>
          <t>Bounded product cases, Diophantine divisors, parity elimination</t>
        </is>
      </c>
      <c r="H60" s="2" t="inlineStr">
        <is>
          <t>yes</t>
        </is>
      </c>
      <c r="I60" s="2" t="inlineStr">
        <is>
          <t>product ±1 cases, divisor Diophantine, parity discard</t>
        </is>
      </c>
      <c r="J60" s="2" t="inlineStr">
        <is>
          <t>yes-&gt;yes</t>
        </is>
      </c>
    </row>
    <row r="61">
      <c r="A61" s="2" t="n">
        <v>815</v>
      </c>
      <c r="B61" s="2" t="inlineStr">
        <is>
          <t>q_77824</t>
        </is>
      </c>
      <c r="C61" s="2" t="inlineStr">
        <is>
          <t>Mathematics -&gt; Algebra -&gt; Abstract Algebra -&gt; Group Theory</t>
        </is>
      </c>
      <c r="D61" s="2" t="n">
        <v>7</v>
      </c>
      <c r="E61" s="2" t="inlineStr">
        <is>
          <t>Suppose $f$ is a continuous function defined on the real numbers $\mathbb{R}$ such that $f(f(f(x))) = x$ for every $x \i</t>
        </is>
      </c>
      <c r="F61" s="2" t="inlineStr">
        <is>
          <t>unclear</t>
        </is>
      </c>
      <c r="G61" s="2" t="inlineStr">
        <is>
          <t>mixes invalid counterexamples with monotonicity; contradictory conclusion</t>
        </is>
      </c>
      <c r="H61" s="2" t="inlineStr">
        <is>
          <t>yes</t>
        </is>
      </c>
      <c r="I61" s="2" t="inlineStr">
        <is>
          <t>monotonicity classification plus directional persistence argument</t>
        </is>
      </c>
      <c r="J61" s="2" t="inlineStr">
        <is>
          <t>unclear-&gt;yes</t>
        </is>
      </c>
    </row>
    <row r="62">
      <c r="A62" s="2" t="n">
        <v>821</v>
      </c>
      <c r="B62" s="2" t="inlineStr">
        <is>
          <t>q_100498</t>
        </is>
      </c>
      <c r="C62" s="2" t="inlineStr">
        <is>
          <t>Mathematics -&gt; Algebra -&gt; Prealgebra -&gt; Fractions</t>
        </is>
      </c>
      <c r="D62" s="2" t="n">
        <v>5</v>
      </c>
      <c r="E62" s="2" t="inlineStr">
        <is>
          <t>Let $p$ and $q$ be positive integers such that\[\frac{5}{9} &lt; \frac{p}{q} &lt; \frac{4}{7}\]and $q$ is as small as possible</t>
        </is>
      </c>
      <c r="F62" s="2" t="inlineStr">
        <is>
          <t>no</t>
        </is>
      </c>
      <c r="G62" s="2" t="inlineStr">
        <is>
          <t>brute-force denominator loop; no determinant or mediant used</t>
        </is>
      </c>
      <c r="H62" s="2" t="inlineStr">
        <is>
          <t>yes</t>
        </is>
      </c>
      <c r="I62" s="2" t="inlineStr">
        <is>
          <t>Checked Farey determinant, took mediant 9/16</t>
        </is>
      </c>
      <c r="J62" s="2" t="inlineStr">
        <is>
          <t>no-&gt;yes</t>
        </is>
      </c>
    </row>
    <row r="63">
      <c r="A63" s="2" t="n">
        <v>866</v>
      </c>
      <c r="B63" s="2" t="inlineStr">
        <is>
          <t>q_92653</t>
        </is>
      </c>
      <c r="C63" s="2" t="inlineStr">
        <is>
          <t>Mathematics -&gt; Algebra -&gt; Algebra -&gt; Equations and Inequalities</t>
        </is>
      </c>
      <c r="D63" s="2" t="n">
        <v>7.5</v>
      </c>
      <c r="E63" s="2" t="inlineStr">
        <is>
          <t>Find all functions \( f: \mathbb{R} \rightarrow \mathbb{R} \) such that for all real numbers \( x \) and \( y \), the in</t>
        </is>
      </c>
      <c r="F63" s="2" t="inlineStr">
        <is>
          <t>unclear</t>
        </is>
      </c>
      <c r="G63" s="2" t="inlineStr">
        <is>
          <t>coefficient matching botched and rejected; answer from stray testing</t>
        </is>
      </c>
      <c r="H63" s="2" t="inlineStr">
        <is>
          <t>yes</t>
        </is>
      </c>
      <c r="I63" s="2" t="inlineStr">
        <is>
          <t>linear ansatz with coefficient matching, a=0 checked, verified solution</t>
        </is>
      </c>
      <c r="J63" s="2" t="inlineStr">
        <is>
          <t>unclear-&gt;yes</t>
        </is>
      </c>
    </row>
    <row r="64">
      <c r="A64" s="2" t="n">
        <v>870</v>
      </c>
      <c r="B64" s="2" t="inlineStr">
        <is>
          <t>q_81296</t>
        </is>
      </c>
      <c r="C64" s="2" t="inlineStr">
        <is>
          <t>Mathematics -&gt; Other</t>
        </is>
      </c>
      <c r="D64" s="2" t="n">
        <v>8.5</v>
      </c>
      <c r="E64" s="2" t="inlineStr">
        <is>
          <t>Is every locally continuous function between topological spaces necessarily continuous?</t>
        </is>
      </c>
      <c r="F64" s="2" t="inlineStr">
        <is>
          <t>no</t>
        </is>
      </c>
      <c r="G64" s="2" t="inlineStr">
        <is>
          <t>Built counterexample, ignored union-of-open-sets gluing argument</t>
        </is>
      </c>
      <c r="H64" s="2" t="inlineStr">
        <is>
          <t>yes</t>
        </is>
      </c>
      <c r="I64" s="2" t="inlineStr">
        <is>
          <t>open cover, preimage open via restrictions, glued locally</t>
        </is>
      </c>
      <c r="J64" s="2" t="inlineStr">
        <is>
          <t>no-&gt;yes</t>
        </is>
      </c>
    </row>
    <row r="65">
      <c r="A65" s="2" t="n">
        <v>871</v>
      </c>
      <c r="B65" s="2" t="inlineStr">
        <is>
          <t>q_92688</t>
        </is>
      </c>
      <c r="C65" s="2" t="inlineStr">
        <is>
          <t>Mathematics -&gt; Number Theory -&gt; Factorization</t>
        </is>
      </c>
      <c r="D65" s="2" t="n">
        <v>6</v>
      </c>
      <c r="E65" s="2" t="inlineStr">
        <is>
          <t>Find the greatest positive integer \( m \) not exceeding 2016 such that in the sequence \( \{a_{n}\} \) defined by: \[ \</t>
        </is>
      </c>
      <c r="F65" s="2" t="inlineStr">
        <is>
          <t>yes</t>
        </is>
      </c>
      <c r="G65" s="2" t="inlineStr">
        <is>
          <t>characterizes totient-divisibility forms, boundary search maximization</t>
        </is>
      </c>
      <c r="H65" s="2" t="inlineStr">
        <is>
          <t>yes</t>
        </is>
      </c>
      <c r="I65" s="2" t="inlineStr">
        <is>
          <t>Used n/phi(n) prime product, boundary search over 2^a3^b</t>
        </is>
      </c>
      <c r="J65" s="2" t="inlineStr">
        <is>
          <t>yes-&gt;yes</t>
        </is>
      </c>
    </row>
    <row r="66">
      <c r="A66" s="2" t="n">
        <v>892</v>
      </c>
      <c r="B66" s="2" t="inlineStr">
        <is>
          <t>q_22140</t>
        </is>
      </c>
      <c r="C66" s="2" t="inlineStr">
        <is>
          <t>Mathematics -&gt; Algebra -&gt; Abstract Algebra -&gt; Group Theory</t>
        </is>
      </c>
      <c r="D66" s="2" t="n">
        <v>7.5</v>
      </c>
      <c r="E66" s="2" t="inlineStr">
        <is>
          <t>Determine the smallest integer $n$ such that the group $Q_8 \times Q_8$ is isomorphic to a subgroup of the symmetric gro</t>
        </is>
      </c>
      <c r="F66" s="2" t="inlineStr">
        <is>
          <t>unclear</t>
        </is>
      </c>
      <c r="G66" s="2" t="inlineStr">
        <is>
          <t>uses product bound and centers but skips core-free analysis, claims mu=4</t>
        </is>
      </c>
      <c r="H66" s="2" t="inlineStr">
        <is>
          <t>yes</t>
        </is>
      </c>
      <c r="I66" s="2" t="inlineStr">
        <is>
          <t>mu additivity bound with center/kernel disjoint-support argument</t>
        </is>
      </c>
      <c r="J66" s="2" t="inlineStr">
        <is>
          <t>unclear-&gt;yes</t>
        </is>
      </c>
    </row>
    <row r="67">
      <c r="A67" s="2" t="n">
        <v>896</v>
      </c>
      <c r="B67" s="2" t="inlineStr">
        <is>
          <t>q_59805</t>
        </is>
      </c>
      <c r="C67" s="2" t="inlineStr">
        <is>
          <t>Mathematics -&gt; Precalculus -&gt; Limits</t>
        </is>
      </c>
      <c r="D67" s="2" t="n">
        <v>6</v>
      </c>
      <c r="E67" s="2" t="inlineStr">
        <is>
          <t>Evaluate the limit: $$\lim_{x \to \infty} \left[ \frac{x^{x+1}}{(x+1)^x} - \frac{(x-1)^x}{x^{x-1}} \right]$$</t>
        </is>
      </c>
      <c r="F67" s="2" t="inlineStr">
        <is>
          <t>yes</t>
        </is>
      </c>
      <c r="G67" s="2" t="inlineStr">
        <is>
          <t>asymptotic expansions to 1/x order, subtracts terms</t>
        </is>
      </c>
      <c r="H67" s="2" t="inlineStr">
        <is>
          <t>yes</t>
        </is>
      </c>
      <c r="I67" s="2" t="inlineStr">
        <is>
          <t>Factored x, expanded (1-1/x)^x asymptotically to O(1/x)</t>
        </is>
      </c>
      <c r="J67" s="2" t="inlineStr">
        <is>
          <t>yes-&gt;yes</t>
        </is>
      </c>
    </row>
    <row r="68">
      <c r="A68" s="2" t="n">
        <v>915</v>
      </c>
      <c r="B68" s="2" t="inlineStr">
        <is>
          <t>q_24663</t>
        </is>
      </c>
      <c r="C68" s="2" t="inlineStr">
        <is>
          <t>Mathematics -&gt; Differential Equations -&gt; Ordinary Differential Equations (ODEs)</t>
        </is>
      </c>
      <c r="D68" s="2" t="n">
        <v>5</v>
      </c>
      <c r="E68" s="2" t="inlineStr">
        <is>
          <t>Given the solution to the differential equation \(x(t) = Ae^{k_1t} + Be^{-k_2t}\), where \(k_1 &gt; 0\) and \(-k_2 &lt; 0\), f</t>
        </is>
      </c>
      <c r="F68" s="2" t="inlineStr">
        <is>
          <t>yes</t>
        </is>
      </c>
      <c r="G68" s="2" t="inlineStr">
        <is>
          <t>Suppressed divergent term A=0, solved initial-condition system</t>
        </is>
      </c>
      <c r="H68" s="2" t="inlineStr">
        <is>
          <t>yes</t>
        </is>
      </c>
      <c r="I68" s="2" t="inlineStr">
        <is>
          <t>sets A=0, solves initial-condition system for relation</t>
        </is>
      </c>
      <c r="J68" s="2" t="inlineStr">
        <is>
          <t>yes-&gt;yes</t>
        </is>
      </c>
    </row>
    <row r="69">
      <c r="A69" s="2" t="n">
        <v>956</v>
      </c>
      <c r="B69" s="2" t="inlineStr">
        <is>
          <t>q_4328</t>
        </is>
      </c>
      <c r="C69" s="2" t="inlineStr">
        <is>
          <t>Mathematics -&gt; Applied Mathematics -&gt; Statistics -&gt; Probability -&gt; Other</t>
        </is>
      </c>
      <c r="D69" s="2" t="n">
        <v>7</v>
      </c>
      <c r="E69" s="2" t="inlineStr">
        <is>
          <t>Given the joint probability distribution of random variables X and Y as \( f(x,y) = Te^{-x-y} \) for \( 0 &lt; y &lt; x &lt; \inf</t>
        </is>
      </c>
      <c r="F69" s="2" t="inlineStr">
        <is>
          <t>yes</t>
        </is>
      </c>
      <c r="G69" s="2" t="inlineStr">
        <is>
          <t>normalized T first, Gamma-type moment integrals, same order</t>
        </is>
      </c>
      <c r="H69" s="2" t="inlineStr">
        <is>
          <t>yes</t>
        </is>
      </c>
      <c r="I69" s="2" t="inlineStr">
        <is>
          <t>normalized T first, Gamma identity for all moments</t>
        </is>
      </c>
      <c r="J69" s="2" t="inlineStr">
        <is>
          <t>yes-&gt;yes</t>
        </is>
      </c>
    </row>
    <row r="70">
      <c r="A70" s="2" t="n">
        <v>959</v>
      </c>
      <c r="B70" s="2" t="inlineStr">
        <is>
          <t>q_16044</t>
        </is>
      </c>
      <c r="C70" s="2" t="inlineStr">
        <is>
          <t>Mathematics -&gt; Calculus -&gt; Integral Calculus -&gt; Techniques of Integration -&gt; Multi-variable</t>
        </is>
      </c>
      <c r="D70" s="2" t="n">
        <v>7</v>
      </c>
      <c r="E70" s="2" t="inlineStr">
        <is>
          <t>Evaluate the integral \( \int_{\mathbb{R}^3} x_3^2 e^{-\lVert x \rVert_2} \lambda_3(dx) \), where \( x = (x_1, x_2, x_3)</t>
        </is>
      </c>
      <c r="F70" s="2" t="inlineStr">
        <is>
          <t>unclear</t>
        </is>
      </c>
      <c r="G70" s="2" t="inlineStr">
        <is>
          <t>spherical/Gamma computed then abandoned; final answer elsewhere</t>
        </is>
      </c>
      <c r="H70" s="2" t="inlineStr">
        <is>
          <t>yes</t>
        </is>
      </c>
      <c r="I70" s="2" t="inlineStr">
        <is>
          <t>symmetry partitioning, spherical Jacobian, Gamma function radial integral</t>
        </is>
      </c>
      <c r="J70" s="2" t="inlineStr">
        <is>
          <t>unclear-&gt;yes</t>
        </is>
      </c>
    </row>
    <row r="71">
      <c r="A71" s="2" t="n">
        <v>974</v>
      </c>
      <c r="B71" s="2" t="inlineStr">
        <is>
          <t>q_42162</t>
        </is>
      </c>
      <c r="C71" s="2" t="inlineStr">
        <is>
          <t>Mathematics -&gt; Calculus -&gt; Integral Calculus -&gt; Applications of Integrals</t>
        </is>
      </c>
      <c r="D71" s="2" t="n">
        <v>8</v>
      </c>
      <c r="E71" s="2" t="inlineStr">
        <is>
          <t>Determine whether the set $S$ of continuous functions $f:[0,1]\to[0,\infty)$ satisfying the equation \[\int_{0}^{1} x^2f</t>
        </is>
      </c>
      <c r="F71" s="2" t="inlineStr">
        <is>
          <t>yes</t>
        </is>
      </c>
      <c r="G71" s="2" t="inlineStr">
        <is>
          <t>completes square inside weighted integral, concludes f=x</t>
        </is>
      </c>
      <c r="H71" s="2" t="inlineStr">
        <is>
          <t>unclear</t>
        </is>
      </c>
      <c r="I71" s="2" t="inlineStr">
        <is>
          <t>Botched square completion, abandoned; guessed f(x)=x instead</t>
        </is>
      </c>
      <c r="J71" s="2" t="inlineStr">
        <is>
          <t>yes-&gt;unclear</t>
        </is>
      </c>
    </row>
    <row r="72">
      <c r="A72" s="2" t="n">
        <v>984</v>
      </c>
      <c r="B72" s="2" t="inlineStr">
        <is>
          <t>q_56631</t>
        </is>
      </c>
      <c r="C72" s="2" t="inlineStr">
        <is>
          <t>Mathematics -&gt; Algebra -&gt; Algebra -&gt; Equations and Inequalities</t>
        </is>
      </c>
      <c r="D72" s="2" t="n">
        <v>7</v>
      </c>
      <c r="E72" s="2" t="inlineStr">
        <is>
          <t xml:space="preserve">Determine whether there exists a function $f(x)$ on the real domain and real constants $a$ and $b \neq 0$ such that the </t>
        </is>
      </c>
      <c r="F72" s="2" t="inlineStr">
        <is>
          <t>yes</t>
        </is>
      </c>
      <c r="G72" s="2" t="inlineStr">
        <is>
          <t>cubic ansatz, undetermined coefficients matching powers</t>
        </is>
      </c>
      <c r="H72" s="2" t="inlineStr">
        <is>
          <t>yes</t>
        </is>
      </c>
      <c r="I72" s="2" t="inlineStr">
        <is>
          <t>degree-elevation cubic ansatz, undetermined coefficients, constructive existence</t>
        </is>
      </c>
      <c r="J72" s="2" t="inlineStr">
        <is>
          <t>yes-&gt;yes</t>
        </is>
      </c>
    </row>
    <row r="73">
      <c r="A73" s="2" t="n">
        <v>985</v>
      </c>
      <c r="B73" s="2" t="inlineStr">
        <is>
          <t>q_92908</t>
        </is>
      </c>
      <c r="C73" s="2" t="inlineStr">
        <is>
          <t>Mathematics -&gt; Geometry -&gt; Solid Geometry -&gt; 3D Shapes</t>
        </is>
      </c>
      <c r="D73" s="2" t="n">
        <v>6</v>
      </c>
      <c r="E73" s="2" t="inlineStr">
        <is>
          <t xml:space="preserve">A point light source is positioned at a distance from a sphere equal to three times the radius of the sphere. Determine </t>
        </is>
      </c>
      <c r="F73" s="2" t="inlineStr">
        <is>
          <t>unclear</t>
        </is>
      </c>
      <c r="G73" s="2" t="inlineStr">
        <is>
          <t>Mixed own derivation with distrusted hint formula, contradictory paths</t>
        </is>
      </c>
      <c r="H73" s="2" t="inlineStr">
        <is>
          <t>yes</t>
        </is>
      </c>
      <c r="I73" s="2" t="inlineStr">
        <is>
          <t>surface-distance interpretation, 2R/(D+R) formula, dual-path check</t>
        </is>
      </c>
      <c r="J73" s="2" t="inlineStr">
        <is>
          <t>unclear-&gt;yes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9" customWidth="1" min="4" max="4"/>
    <col width="46" customWidth="1" min="5" max="5"/>
    <col width="14" customWidth="1" min="6" max="6"/>
    <col width="40" customWidth="1" min="7" max="7"/>
    <col width="16" customWidth="1" min="8" max="8"/>
    <col width="40" customWidth="1" min="9" max="9"/>
    <col width="16" customWidth="1" min="10" max="10"/>
  </cols>
  <sheetData>
    <row r="1">
      <c r="A1" s="1" t="inlineStr">
        <is>
          <t>item_index</t>
        </is>
      </c>
      <c r="B1" s="1" t="inlineStr">
        <is>
          <t>question_id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question (first 120 chars)</t>
        </is>
      </c>
      <c r="F1" s="1" t="inlineStr">
        <is>
          <t>verdict x1 {q,i}</t>
        </is>
      </c>
      <c r="G1" s="1" t="inlineStr">
        <is>
          <t>evidence x1</t>
        </is>
      </c>
      <c r="H1" s="1" t="inlineStr">
        <is>
          <t>verdict x2 {q,i|q,i}</t>
        </is>
      </c>
      <c r="I1" s="1" t="inlineStr">
        <is>
          <t>evidence x2</t>
        </is>
      </c>
      <c r="J1" s="1" t="inlineStr">
        <is>
          <t>transition</t>
        </is>
      </c>
    </row>
    <row r="2">
      <c r="A2" s="2" t="n">
        <v>30</v>
      </c>
      <c r="B2" s="2" t="inlineStr">
        <is>
          <t>q_3793</t>
        </is>
      </c>
      <c r="C2" s="2" t="inlineStr">
        <is>
          <t>Mathematics -&gt; Algebra -&gt; Intermediate Algebra -&gt; Complex Numbers</t>
        </is>
      </c>
      <c r="D2" s="2" t="n">
        <v>6</v>
      </c>
      <c r="E2" s="2" t="inlineStr">
        <is>
          <t>Find the maximum value of \(|z|\) given that \(|z^2 + 2z \cos \alpha| \leq 1\) for all real values of \(\alpha\).</t>
        </is>
      </c>
      <c r="F2" s="2" t="inlineStr">
        <is>
          <t>yes</t>
        </is>
      </c>
      <c r="G2" s="2" t="inlineStr">
        <is>
          <t>endpoint cases cos=±1, t=r² quadratic boundary solve</t>
        </is>
      </c>
      <c r="H2" s="2" t="inlineStr">
        <is>
          <t>yes</t>
        </is>
      </c>
      <c r="I2" s="2" t="inlineStr">
        <is>
          <t>worst-case alpha endpoints, imaginary-axis z, t=y^2 quadratic boundary</t>
        </is>
      </c>
      <c r="J2" s="2" t="inlineStr">
        <is>
          <t>yes-&gt;yes</t>
        </is>
      </c>
    </row>
    <row r="3">
      <c r="A3" s="2" t="n">
        <v>52</v>
      </c>
      <c r="B3" s="2" t="inlineStr">
        <is>
          <t>q_60263</t>
        </is>
      </c>
      <c r="C3" s="2" t="inlineStr">
        <is>
          <t>Mathematics -&gt; Algebra -&gt; Abstract Algebra -&gt; Ring Theory</t>
        </is>
      </c>
      <c r="D3" s="2" t="n">
        <v>8</v>
      </c>
      <c r="E3" s="2" t="inlineStr">
        <is>
          <t>Determine whether there exists a polynomial \( f(X) \in \mathbb{R}[X] \) such that the quotient ring \( \frac{\mathbb{R}</t>
        </is>
      </c>
      <c r="F3" s="2" t="inlineStr">
        <is>
          <t>yes</t>
        </is>
      </c>
      <c r="G3" s="2" t="inlineStr">
        <is>
          <t>dimension count then CRT with distinct irreducible quadratics</t>
        </is>
      </c>
      <c r="H3" s="2" t="inlineStr">
        <is>
          <t>yes</t>
        </is>
      </c>
      <c r="I3" s="2" t="inlineStr">
        <is>
          <t>dimension count, CRT with distinct irreducible quadratics</t>
        </is>
      </c>
      <c r="J3" s="2" t="inlineStr">
        <is>
          <t>yes-&gt;yes</t>
        </is>
      </c>
    </row>
    <row r="4">
      <c r="A4" s="2" t="n">
        <v>66</v>
      </c>
      <c r="B4" s="2" t="inlineStr">
        <is>
          <t>q_1601</t>
        </is>
      </c>
      <c r="C4" s="2" t="inlineStr">
        <is>
          <t>Mathematics -&gt; Calculus -&gt; Differential Calculus -&gt; Derivatives</t>
        </is>
      </c>
      <c r="D4" s="2" t="n">
        <v>4.5</v>
      </c>
      <c r="E4" s="2" t="inlineStr">
        <is>
          <t>Find the derivative of the function \( f(x) = \frac{x^2}{2} \cdot (I[x \ge 0] - I[x &lt; 0]) \) using the limit definition:</t>
        </is>
      </c>
      <c r="F4" s="2" t="inlineStr">
        <is>
          <t>yes</t>
        </is>
      </c>
      <c r="G4" s="2" t="inlineStr">
        <is>
          <t>piecewise rewrite, one-sided limits, synthesized to |x|</t>
        </is>
      </c>
      <c r="H4" s="2" t="inlineStr">
        <is>
          <t>yes</t>
        </is>
      </c>
      <c r="I4" s="2" t="inlineStr">
        <is>
          <t>piecewise rewrite, interval-wise limits, one-sided limits at zero</t>
        </is>
      </c>
      <c r="J4" s="2" t="inlineStr">
        <is>
          <t>yes-&gt;yes</t>
        </is>
      </c>
    </row>
    <row r="5">
      <c r="A5" s="2" t="n">
        <v>73</v>
      </c>
      <c r="B5" s="2" t="inlineStr">
        <is>
          <t>q_89561</t>
        </is>
      </c>
      <c r="C5" s="2" t="inlineStr">
        <is>
          <t>Mathematics -&gt; Discrete Mathematics -&gt; Combinatorics</t>
        </is>
      </c>
      <c r="D5" s="2" t="n">
        <v>6.5</v>
      </c>
      <c r="E5" s="2" t="inlineStr">
        <is>
          <t>In a language with only three letters - $A, B$, and $C$, a word is defined as a sequence of exactly 100 letters, with ex</t>
        </is>
      </c>
      <c r="F5" s="2" t="inlineStr">
        <is>
          <t>yes</t>
        </is>
      </c>
      <c r="G5" s="2" t="inlineStr">
        <is>
          <t>fixed support strategy yielding 2^40 labelings</t>
        </is>
      </c>
      <c r="H5" s="2" t="inlineStr">
        <is>
          <t>unclear</t>
        </is>
      </c>
      <c r="I5" s="2" t="inlineStr">
        <is>
          <t>mentions fixed-support 2^40 but incoherent, final answer contradicts</t>
        </is>
      </c>
      <c r="J5" s="2" t="inlineStr">
        <is>
          <t>yes-&gt;unclear</t>
        </is>
      </c>
    </row>
    <row r="6">
      <c r="A6" s="2" t="n">
        <v>90</v>
      </c>
      <c r="B6" s="2" t="inlineStr">
        <is>
          <t>q_90470</t>
        </is>
      </c>
      <c r="C6" s="2" t="inlineStr">
        <is>
          <t>Mathematics -&gt; Geometry -&gt; Plane Geometry -&gt; Polygons</t>
        </is>
      </c>
      <c r="D6" s="2" t="n">
        <v>5</v>
      </c>
      <c r="E6" s="2" t="inlineStr">
        <is>
          <t>In an isosceles trapezoid \( ABCD \) with \( AD \) as one of the bases, a point \( P \) inside the trapezoid bisects ang</t>
        </is>
      </c>
      <c r="F6" s="2" t="inlineStr">
        <is>
          <t>yes</t>
        </is>
      </c>
      <c r="G6" s="2" t="inlineStr">
        <is>
          <t>incenter angle sum, r=PA·sin(A/2), h=2r, tangential property</t>
        </is>
      </c>
      <c r="H6" s="2" t="inlineStr">
        <is>
          <t>yes</t>
        </is>
      </c>
      <c r="I6" s="2" t="inlineStr">
        <is>
          <t>incenter, bisector angle formula, r=PA·sin(θ/2), A=rs</t>
        </is>
      </c>
      <c r="J6" s="2" t="inlineStr">
        <is>
          <t>yes-&gt;yes</t>
        </is>
      </c>
    </row>
    <row r="7">
      <c r="A7" s="2" t="n">
        <v>99</v>
      </c>
      <c r="B7" s="2" t="inlineStr">
        <is>
          <t>q_45382</t>
        </is>
      </c>
      <c r="C7" s="2" t="inlineStr">
        <is>
          <t>Mathematics -&gt; Calculus -&gt; Integral Calculus -&gt; Techniques of Integration -&gt; Single-variable</t>
        </is>
      </c>
      <c r="D7" s="2" t="n">
        <v>6.5</v>
      </c>
      <c r="E7" s="2" t="inlineStr">
        <is>
          <t>Evaluate \( \lim_{x\to 1} \int_{x}^{x^2}\frac{1}{\ln {t}}\mathrm dt \).</t>
        </is>
      </c>
      <c r="F7" s="2" t="inlineStr">
        <is>
          <t>yes</t>
        </is>
      </c>
      <c r="G7" s="2" t="inlineStr">
        <is>
          <t>expands 1/ln t as 1/u near 1, bound ratio gives ln2</t>
        </is>
      </c>
      <c r="H7" s="2" t="inlineStr">
        <is>
          <t>yes</t>
        </is>
      </c>
      <c r="I7" s="2" t="inlineStr">
        <is>
          <t>t=1+u expansion, 1/u integral, bound ratio gives ln2</t>
        </is>
      </c>
      <c r="J7" s="2" t="inlineStr">
        <is>
          <t>yes-&gt;yes</t>
        </is>
      </c>
    </row>
    <row r="8">
      <c r="A8" s="2" t="n">
        <v>130</v>
      </c>
      <c r="B8" s="2" t="inlineStr">
        <is>
          <t>q_44453</t>
        </is>
      </c>
      <c r="C8" s="2" t="inlineStr">
        <is>
          <t>Mathematics -&gt; Calculus -&gt; Integral Calculus -&gt; Techniques of Integration -&gt; Single-variable</t>
        </is>
      </c>
      <c r="D8" s="2" t="n">
        <v>7</v>
      </c>
      <c r="E8" s="2" t="inlineStr">
        <is>
          <t>Evaluate the Riemann-Stieltjes integral: \[ \int_{0}^{2}x^2d\left\lfloor 2x\right\rfloor \]</t>
        </is>
      </c>
      <c r="F8" s="2" t="inlineStr">
        <is>
          <t>yes</t>
        </is>
      </c>
      <c r="G8" s="2" t="inlineStr">
        <is>
          <t>converted integral to sum over jump points times jumps</t>
        </is>
      </c>
      <c r="H8" s="2" t="inlineStr">
        <is>
          <t>yes</t>
        </is>
      </c>
      <c r="I8" s="2" t="inlineStr">
        <is>
          <t>converted to discrete sum over jump points</t>
        </is>
      </c>
      <c r="J8" s="2" t="inlineStr">
        <is>
          <t>yes-&gt;yes</t>
        </is>
      </c>
    </row>
    <row r="9">
      <c r="A9" s="2" t="n">
        <v>139</v>
      </c>
      <c r="B9" s="2" t="inlineStr">
        <is>
          <t>q_81695</t>
        </is>
      </c>
      <c r="C9" s="2" t="inlineStr">
        <is>
          <t>Mathematics -&gt; Geometry -&gt; Differential Geometry -&gt; Manifolds</t>
        </is>
      </c>
      <c r="D9" s="2" t="n">
        <v>8.5</v>
      </c>
      <c r="E9" s="2" t="inlineStr">
        <is>
          <t>Let $M$ be a compact, connected, oriented smooth Riemannian manifold with non-empty boundary. Let $f:M \to M$ be a smoot</t>
        </is>
      </c>
      <c r="F9" s="2" t="inlineStr">
        <is>
          <t>yes</t>
        </is>
      </c>
      <c r="G9" s="2" t="inlineStr">
        <is>
          <t>local isometry via pullback metric, injectivity radius, boundary</t>
        </is>
      </c>
      <c r="H9" s="2" t="inlineStr">
        <is>
          <t>yes</t>
        </is>
      </c>
      <c r="I9" s="2" t="inlineStr">
        <is>
          <t>local isometry, injectivity radius, exponential map, boundary check</t>
        </is>
      </c>
      <c r="J9" s="2" t="inlineStr">
        <is>
          <t>yes-&gt;yes</t>
        </is>
      </c>
    </row>
    <row r="10">
      <c r="A10" s="2" t="n">
        <v>152</v>
      </c>
      <c r="B10" s="2" t="inlineStr">
        <is>
          <t>q_54037</t>
        </is>
      </c>
      <c r="C10" s="2" t="inlineStr">
        <is>
          <t>Mathematics -&gt; Algebra -&gt; Abstract Algebra -&gt; Field Theory</t>
        </is>
      </c>
      <c r="D10" s="2" t="n">
        <v>8</v>
      </c>
      <c r="E10" s="2" t="inlineStr">
        <is>
          <t xml:space="preserve">Determine whether a simple algebraic extension of degree $n$ of a field $\mathbb{F}$ can be embedded in the matrix ring </t>
        </is>
      </c>
      <c r="F10" s="2" t="inlineStr">
        <is>
          <t>yes</t>
        </is>
      </c>
      <c r="G10" s="2" t="inlineStr">
        <is>
          <t>companion matrix embedding, nonzero homomorphism from field is injective</t>
        </is>
      </c>
      <c r="H10" s="2" t="inlineStr">
        <is>
          <t>yes</t>
        </is>
      </c>
      <c r="I10" s="2" t="inlineStr">
        <is>
          <t>companion matrix embedding; injectivity from field simplicity</t>
        </is>
      </c>
      <c r="J10" s="2" t="inlineStr">
        <is>
          <t>yes-&gt;yes</t>
        </is>
      </c>
    </row>
    <row r="11">
      <c r="A11" s="2" t="n">
        <v>155</v>
      </c>
      <c r="B11" s="2" t="inlineStr">
        <is>
          <t>q_26881</t>
        </is>
      </c>
      <c r="C11" s="2" t="inlineStr">
        <is>
          <t>Mathematics -&gt; Calculus -&gt; Differential Calculus -&gt; Applications of Derivatives</t>
        </is>
      </c>
      <c r="D11" s="2" t="n">
        <v>9</v>
      </c>
      <c r="E11" s="2" t="inlineStr">
        <is>
          <t>Consider an antisymmetric 3-tensor $A$ over a sequence space, where $A_{ijk} = -A_{jik} = -A_{ikj} \in \mathbb{R}$ for $</t>
        </is>
      </c>
      <c r="F11" s="2" t="inlineStr">
        <is>
          <t>unclear</t>
        </is>
      </c>
      <c r="G11" s="2" t="inlineStr">
        <is>
          <t>started antisymmetry and Cauchy-Schwarz, abandoned, asserted answer</t>
        </is>
      </c>
      <c r="H11" s="2" t="inlineStr">
        <is>
          <t>unclear</t>
        </is>
      </c>
      <c r="I11" s="2" t="inlineStr">
        <is>
          <t>attempted Cauchy-Schwarz and rank-1 test, never completed bound</t>
        </is>
      </c>
      <c r="J11" s="2" t="inlineStr">
        <is>
          <t>unclear-&gt;unclear</t>
        </is>
      </c>
    </row>
    <row r="12">
      <c r="A12" s="2" t="n">
        <v>177</v>
      </c>
      <c r="B12" s="2" t="inlineStr">
        <is>
          <t>q_46940</t>
        </is>
      </c>
      <c r="C12" s="2" t="inlineStr">
        <is>
          <t>Mathematics -&gt; Geometry -&gt; Plane Geometry -&gt; Area</t>
        </is>
      </c>
      <c r="D12" s="2" t="n">
        <v>7.5</v>
      </c>
      <c r="E12" s="2" t="inlineStr">
        <is>
          <t>Determine the subset $A \subset [0,8]^2$ with the largest Lebesgue measure such that $A$ and its translation by the vect</t>
        </is>
      </c>
      <c r="F12" s="2" t="inlineStr">
        <is>
          <t>yes</t>
        </is>
      </c>
      <c r="G12" s="2" t="inlineStr">
        <is>
          <t>computed conflict region overlap, subtracted its measure</t>
        </is>
      </c>
      <c r="H12" s="2" t="inlineStr">
        <is>
          <t>unclear</t>
        </is>
      </c>
      <c r="I12" s="2" t="inlineStr">
        <is>
          <t>computed conflict region then abandoned it for halving argument</t>
        </is>
      </c>
      <c r="J12" s="2" t="inlineStr">
        <is>
          <t>yes-&gt;unclear</t>
        </is>
      </c>
    </row>
    <row r="13">
      <c r="A13" s="2" t="n">
        <v>178</v>
      </c>
      <c r="B13" s="2" t="inlineStr">
        <is>
          <t>q_45319</t>
        </is>
      </c>
      <c r="C13" s="2" t="inlineStr">
        <is>
          <t>Mathematics -&gt; Calculus -&gt; Integral Calculus -&gt; Techniques of Integration -&gt; Multi-variable</t>
        </is>
      </c>
      <c r="D13" s="2" t="n">
        <v>5.5</v>
      </c>
      <c r="E13" s="2" t="inlineStr">
        <is>
          <t>Calculate the integral \( \int _0 ^ 1 \int_0^ {x} (x ^ 2 + y ^ 2) \, dy \, dx \) using the change of variables \(x = u +</t>
        </is>
      </c>
      <c r="F13" s="2" t="inlineStr">
        <is>
          <t>yes</t>
        </is>
      </c>
      <c r="G13" s="2" t="inlineStr">
        <is>
          <t>mapped inequalities to uv-region, split at vertex, applied Jacobian</t>
        </is>
      </c>
      <c r="H13" s="2" t="inlineStr">
        <is>
          <t>yes</t>
        </is>
      </c>
      <c r="I13" s="2" t="inlineStr">
        <is>
          <t>maps boundary inequalities to uv-region, multiplies by Jacobian 2</t>
        </is>
      </c>
      <c r="J13" s="2" t="inlineStr">
        <is>
          <t>yes-&gt;yes</t>
        </is>
      </c>
    </row>
    <row r="14">
      <c r="A14" s="2" t="n">
        <v>211</v>
      </c>
      <c r="B14" s="2" t="inlineStr">
        <is>
          <t>q_58460</t>
        </is>
      </c>
      <c r="C14" s="2" t="inlineStr">
        <is>
          <t>Mathematics -&gt; Algebra -&gt; Linear Algebra -&gt; Matrices</t>
        </is>
      </c>
      <c r="D14" s="2" t="n">
        <v>7</v>
      </c>
      <c r="E14" s="2" t="inlineStr">
        <is>
          <t>Given a positive integer $d$ and an integer $n \ge 3$, consider an $n \times n$ matrix $A$ with non-negative integer ent</t>
        </is>
      </c>
      <c r="F14" s="2" t="inlineStr">
        <is>
          <t>yes</t>
        </is>
      </c>
      <c r="G14" s="2" t="inlineStr">
        <is>
          <t>determinant lemma with adjugate row sums, verified via examples</t>
        </is>
      </c>
      <c r="H14" s="2" t="inlineStr">
        <is>
          <t>yes</t>
        </is>
      </c>
      <c r="I14" s="2" t="inlineStr">
        <is>
          <t>determinant lemma plus adjugate row-sum equals one</t>
        </is>
      </c>
      <c r="J14" s="2" t="inlineStr">
        <is>
          <t>yes-&gt;yes</t>
        </is>
      </c>
    </row>
    <row r="15">
      <c r="A15" s="2" t="n">
        <v>252</v>
      </c>
      <c r="B15" s="2" t="inlineStr">
        <is>
          <t>q_40764</t>
        </is>
      </c>
      <c r="C15" s="2" t="inlineStr">
        <is>
          <t>Mathematics -&gt; Geometry -&gt; Plane Geometry -&gt; Polygons</t>
        </is>
      </c>
      <c r="D15" s="2" t="n">
        <v>3</v>
      </c>
      <c r="E15" s="2" t="inlineStr">
        <is>
          <t>A rectangle ABCD has dimensions 9 ft by 12 ft. It is folded once perpendicular to diagonal AC so that vertices A and C c</t>
        </is>
      </c>
      <c r="F15" s="2" t="inlineStr">
        <is>
          <t>yes</t>
        </is>
      </c>
      <c r="G15" s="2" t="inlineStr">
        <is>
          <t>perpendicular bisector of AC, coordinates, boundary intersections, distance formula</t>
        </is>
      </c>
      <c r="H15" s="2" t="inlineStr">
        <is>
          <t>yes</t>
        </is>
      </c>
      <c r="I15" s="2" t="inlineStr">
        <is>
          <t>perpendicular bisector of AC, boundary intersections, distance formula</t>
        </is>
      </c>
      <c r="J15" s="2" t="inlineStr">
        <is>
          <t>yes-&gt;yes</t>
        </is>
      </c>
    </row>
    <row r="16">
      <c r="A16" s="2" t="n">
        <v>266</v>
      </c>
      <c r="B16" s="2" t="inlineStr">
        <is>
          <t>q_18654</t>
        </is>
      </c>
      <c r="C16" s="2" t="inlineStr">
        <is>
          <t>Mathematics -&gt; Differential Equations -&gt; Ordinary Differential Equations (ODEs)</t>
        </is>
      </c>
      <c r="D16" s="2" t="n">
        <v>5.5</v>
      </c>
      <c r="E16" s="2" t="inlineStr">
        <is>
          <t xml:space="preserve">Given the differential equation \((xy^3 + x^2y^7)\frac{dy}{dx} = 1\) and the initial condition \(y(1/4) = 1\), find the </t>
        </is>
      </c>
      <c r="F16" s="2" t="inlineStr">
        <is>
          <t>yes</t>
        </is>
      </c>
      <c r="G16" s="2" t="inlineStr">
        <is>
          <t>inversion to dx/dy, Bernoulli substitution, two-step evaluation</t>
        </is>
      </c>
      <c r="H16" s="2" t="inlineStr">
        <is>
          <t>yes</t>
        </is>
      </c>
      <c r="I16" s="2" t="inlineStr">
        <is>
          <t>inverted to dx/dy, Bernoulli substitution, two-step evaluation</t>
        </is>
      </c>
      <c r="J16" s="2" t="inlineStr">
        <is>
          <t>yes-&gt;yes</t>
        </is>
      </c>
    </row>
    <row r="17">
      <c r="A17" s="2" t="n">
        <v>288</v>
      </c>
      <c r="B17" s="2" t="inlineStr">
        <is>
          <t>q_28463</t>
        </is>
      </c>
      <c r="C17" s="2" t="inlineStr">
        <is>
          <t>Mathematics -&gt; Calculus -&gt; Integral Calculus -&gt; Applications of Integrals</t>
        </is>
      </c>
      <c r="D17" s="2" t="n">
        <v>5.5</v>
      </c>
      <c r="E17" s="2" t="inlineStr">
        <is>
          <t>Find the length of the curve given by the equation \(6xy = 3 + x^4\) between \(x = 1\) and \(x = 2\).</t>
        </is>
      </c>
      <c r="F17" s="2" t="inlineStr">
        <is>
          <t>yes</t>
        </is>
      </c>
      <c r="G17" s="2" t="inlineStr">
        <is>
          <t>factored radicand into perfect square, integrated exactly</t>
        </is>
      </c>
      <c r="H17" s="2" t="inlineStr">
        <is>
          <t>yes</t>
        </is>
      </c>
      <c r="I17" s="2" t="inlineStr">
        <is>
          <t>factored radicand into perfect square via sign-flip identity</t>
        </is>
      </c>
      <c r="J17" s="2" t="inlineStr">
        <is>
          <t>yes-&gt;yes</t>
        </is>
      </c>
    </row>
    <row r="18">
      <c r="A18" s="2" t="n">
        <v>297</v>
      </c>
      <c r="B18" s="2" t="inlineStr">
        <is>
          <t>q_23801</t>
        </is>
      </c>
      <c r="C18" s="2" t="inlineStr">
        <is>
          <t>Mathematics -&gt; Algebra -&gt; Intermediate Algebra -&gt; Exponential Functions</t>
        </is>
      </c>
      <c r="D18" s="2" t="n">
        <v>8.5</v>
      </c>
      <c r="E18" s="2" t="inlineStr">
        <is>
          <t>Let $x \in \mathbb{R}^+$ and define the operation $x \diamond 1 = x$ and $x \diamond (n+1) = x^{x \diamond n}$ for $n \i</t>
        </is>
      </c>
      <c r="F18" s="2" t="inlineStr">
        <is>
          <t>unclear</t>
        </is>
      </c>
      <c r="G18" s="2" t="inlineStr">
        <is>
          <t>log reduction started, incoherent comparisons, conclusion not carried through</t>
        </is>
      </c>
      <c r="H18" s="2" t="inlineStr">
        <is>
          <t>yes</t>
        </is>
      </c>
      <c r="I18" s="2" t="inlineStr">
        <is>
          <t>substitution, iterated logs, functional inversion monotonicity comparison</t>
        </is>
      </c>
      <c r="J18" s="2" t="inlineStr">
        <is>
          <t>unclear-&gt;yes</t>
        </is>
      </c>
    </row>
    <row r="19">
      <c r="A19" s="2" t="n">
        <v>309</v>
      </c>
      <c r="B19" s="2" t="inlineStr">
        <is>
          <t>q_80327</t>
        </is>
      </c>
      <c r="C19" s="2" t="inlineStr">
        <is>
          <t>Mathematics -&gt; Calculus -&gt; Integral Calculus -&gt; Techniques of Integration -&gt; Single-variable</t>
        </is>
      </c>
      <c r="D19" s="2" t="n">
        <v>7</v>
      </c>
      <c r="E19" s="2" t="inlineStr">
        <is>
          <t>Evaluate the integral \( I = \int_0^{\infty} \frac{\ln(1+x^2)}{x^2(1+x^2)} \, dx \).</t>
        </is>
      </c>
      <c r="F19" s="2" t="inlineStr">
        <is>
          <t>yes</t>
        </is>
      </c>
      <c r="G19" s="2" t="inlineStr">
        <is>
          <t>parameterized log integral, swapped order, u=√t substitution</t>
        </is>
      </c>
      <c r="H19" s="2" t="inlineStr">
        <is>
          <t>yes</t>
        </is>
      </c>
      <c r="I19" s="2" t="inlineStr">
        <is>
          <t>log integral representation, product shortcut formula, u=√t substitution</t>
        </is>
      </c>
      <c r="J19" s="2" t="inlineStr">
        <is>
          <t>yes-&gt;yes</t>
        </is>
      </c>
    </row>
    <row r="20">
      <c r="A20" s="2" t="n">
        <v>333</v>
      </c>
      <c r="B20" s="2" t="inlineStr">
        <is>
          <t>q_86713</t>
        </is>
      </c>
      <c r="C20" s="2" t="inlineStr">
        <is>
          <t>Mathematics -&gt; Discrete Mathematics -&gt; Combinatorics</t>
        </is>
      </c>
      <c r="D20" s="2" t="n">
        <v>5.5</v>
      </c>
      <c r="E20" s="2" t="inlineStr">
        <is>
          <t>A circle is divided into \( n \) sectors, labeled sequentially as \( s_1, s_2, \cdots, s_n \), where \( n \geq 2 \). Eac</t>
        </is>
      </c>
      <c r="F20" s="2" t="inlineStr">
        <is>
          <t>yes</t>
        </is>
      </c>
      <c r="G20" s="2" t="inlineStr">
        <is>
          <t>cycle chromatic polynomial formula, small case verification</t>
        </is>
      </c>
      <c r="H20" s="2" t="inlineStr">
        <is>
          <t>yes</t>
        </is>
      </c>
      <c r="I20" s="2" t="inlineStr">
        <is>
          <t>applies cycle chromatic polynomial (k-1)^n+(-1)^n(k-1), verifies small cases</t>
        </is>
      </c>
      <c r="J20" s="2" t="inlineStr">
        <is>
          <t>yes-&gt;yes</t>
        </is>
      </c>
    </row>
    <row r="21">
      <c r="A21" s="2" t="n">
        <v>335</v>
      </c>
      <c r="B21" s="2" t="inlineStr">
        <is>
          <t>q_3845</t>
        </is>
      </c>
      <c r="C21" s="2" t="inlineStr">
        <is>
          <t>Mathematics -&gt; Calculus -&gt; Integral Calculus -&gt; Techniques of Integration -&gt; Multi-variable</t>
        </is>
      </c>
      <c r="D21" s="2" t="n">
        <v>5.5</v>
      </c>
      <c r="E21" s="2" t="inlineStr">
        <is>
          <t>Evaluate the double integral \( \iint_D (x + y) \, dx \, dy \) over the region \( D = \{(x,y) \mid 0 \leq y \leq x, 0 \l</t>
        </is>
      </c>
      <c r="F21" s="2" t="inlineStr">
        <is>
          <t>yes</t>
        </is>
      </c>
      <c r="G21" s="2" t="inlineStr">
        <is>
          <t>Jacobian 2, transformed inequalities, uv integral verified against direct 1/2</t>
        </is>
      </c>
      <c r="H21" s="2" t="inlineStr">
        <is>
          <t>yes</t>
        </is>
      </c>
      <c r="I21" s="2" t="inlineStr">
        <is>
          <t>Jacobian, transformed inequalities, split region, direct evaluation benchmark</t>
        </is>
      </c>
      <c r="J21" s="2" t="inlineStr">
        <is>
          <t>yes-&gt;yes</t>
        </is>
      </c>
    </row>
    <row r="22">
      <c r="A22" s="2" t="n">
        <v>338</v>
      </c>
      <c r="B22" s="2" t="inlineStr">
        <is>
          <t>q_57523</t>
        </is>
      </c>
      <c r="C22" s="2" t="inlineStr">
        <is>
          <t>Mathematics -&gt; Calculus -&gt; Integral Calculus -&gt; Techniques of Integration -&gt; Multi-variable</t>
        </is>
      </c>
      <c r="D22" s="2" t="n">
        <v>6</v>
      </c>
      <c r="E22" s="2" t="inlineStr">
        <is>
          <t>Evaluate the definite integral: $$ \int_{-\pi/2}^{\pi/2}\int_{-\pi/2}^{\pi/2} \sin\left(\,{\left\lvert\, {x - y\,}\right</t>
        </is>
      </c>
      <c r="F22" s="2" t="inlineStr">
        <is>
          <t>yes</t>
        </is>
      </c>
      <c r="G22" s="2" t="inlineStr">
        <is>
          <t>split domain into triangles removing absolute value</t>
        </is>
      </c>
      <c r="H22" s="2" t="inlineStr">
        <is>
          <t>yes</t>
        </is>
      </c>
      <c r="I22" s="2" t="inlineStr">
        <is>
          <t>split domain at x=y into triangles, doubled</t>
        </is>
      </c>
      <c r="J22" s="2" t="inlineStr">
        <is>
          <t>yes-&gt;yes</t>
        </is>
      </c>
    </row>
    <row r="23">
      <c r="A23" s="2" t="n">
        <v>344</v>
      </c>
      <c r="B23" s="2" t="inlineStr">
        <is>
          <t>q_7396</t>
        </is>
      </c>
      <c r="C23" s="2" t="inlineStr">
        <is>
          <t>Mathematics -&gt; Applied Mathematics -&gt; Statistics -&gt; Probability -&gt; Other</t>
        </is>
      </c>
      <c r="D23" s="2" t="n">
        <v>7</v>
      </c>
      <c r="E23" s="2" t="inlineStr">
        <is>
          <t>Find the probability distribution of the sum \( \Phi = \Phi_1 + \Phi_2 \), where \( \Phi_1 \) and \( \Phi_2 \) are indep</t>
        </is>
      </c>
      <c r="F23" s="2" t="inlineStr">
        <is>
          <t>yes</t>
        </is>
      </c>
      <c r="G23" s="2" t="inlineStr">
        <is>
          <t>invokes group invariance and circular convolution mod 2pi, gets 1/(2pi)</t>
        </is>
      </c>
      <c r="H23" s="2" t="inlineStr">
        <is>
          <t>yes</t>
        </is>
      </c>
      <c r="I23" s="2" t="inlineStr">
        <is>
          <t>invoked group invariance: circular sum stays uniform</t>
        </is>
      </c>
      <c r="J23" s="2" t="inlineStr">
        <is>
          <t>yes-&gt;yes</t>
        </is>
      </c>
    </row>
    <row r="24">
      <c r="A24" s="2" t="n">
        <v>369</v>
      </c>
      <c r="B24" s="2" t="inlineStr">
        <is>
          <t>q_18938</t>
        </is>
      </c>
      <c r="C24" s="2" t="inlineStr">
        <is>
          <t>Mathematics -&gt; Calculus -&gt; Integral Calculus -&gt; Techniques of Integration -&gt; Multi-variable</t>
        </is>
      </c>
      <c r="D24" s="2" t="n">
        <v>7.5</v>
      </c>
      <c r="E24" s="2" t="inlineStr">
        <is>
          <t>Evaluate the integral \( \int_{|z|=2} \frac{1}{\sqrt{z^4+4z+1}} \, dz \).</t>
        </is>
      </c>
      <c r="F24" s="2" t="inlineStr">
        <is>
          <t>yes</t>
        </is>
      </c>
      <c r="G24" s="2" t="inlineStr">
        <is>
          <t>Rouche locates four branch points, residue at infinity zero</t>
        </is>
      </c>
      <c r="H24" s="2" t="inlineStr">
        <is>
          <t>yes</t>
        </is>
      </c>
      <c r="I24" s="2" t="inlineStr">
        <is>
          <t>Rouché locates branch points; evaluates via residue at infinity</t>
        </is>
      </c>
      <c r="J24" s="2" t="inlineStr">
        <is>
          <t>yes-&gt;yes</t>
        </is>
      </c>
    </row>
    <row r="25">
      <c r="A25" s="2" t="n">
        <v>382</v>
      </c>
      <c r="B25" s="2" t="inlineStr">
        <is>
          <t>q_9845</t>
        </is>
      </c>
      <c r="C25" s="2" t="inlineStr">
        <is>
          <t>Mathematics -&gt; Calculus -&gt; Integral Calculus -&gt; Applications of Integrals</t>
        </is>
      </c>
      <c r="D25" s="2" t="n">
        <v>8</v>
      </c>
      <c r="E25" s="2" t="inlineStr">
        <is>
          <t xml:space="preserve">Determine if the kernel \( K(x,y) = \frac{e^{-\frac{xy}{x+y}}}{x+y} \) is invertible for \( x \in [0,1] \) and \( y \in </t>
        </is>
      </c>
      <c r="F25" s="2" t="inlineStr">
        <is>
          <t>unclear</t>
        </is>
      </c>
      <c r="G25" s="2" t="inlineStr">
        <is>
          <t>only asymptotic probing; no series/moments/transform carried through</t>
        </is>
      </c>
      <c r="H25" s="2" t="inlineStr">
        <is>
          <t>unclear</t>
        </is>
      </c>
      <c r="I25" s="2" t="inlineStr">
        <is>
          <t>started asymptotic limit analysis, conclusion merely asserted</t>
        </is>
      </c>
      <c r="J25" s="2" t="inlineStr">
        <is>
          <t>unclear-&gt;unclear</t>
        </is>
      </c>
    </row>
    <row r="26">
      <c r="A26" s="2" t="n">
        <v>397</v>
      </c>
      <c r="B26" s="2" t="inlineStr">
        <is>
          <t>q_50218</t>
        </is>
      </c>
      <c r="C26" s="2" t="inlineStr">
        <is>
          <t>Mathematics -&gt; Algebra -&gt; Linear Algebra -&gt; Determinants</t>
        </is>
      </c>
      <c r="D26" s="2" t="n">
        <v>5.5</v>
      </c>
      <c r="E26" s="2" t="inlineStr">
        <is>
          <t>Calculate the determinant of the following tridiagonal matrix: \[\det\begin{pmatrix} 5 &amp; 6 &amp; 0 &amp; 0 &amp; 0 &amp; \cdots &amp; 0 \\ 4</t>
        </is>
      </c>
      <c r="F26" s="2" t="inlineStr">
        <is>
          <t>yes</t>
        </is>
      </c>
      <c r="G26" s="2" t="inlineStr">
        <is>
          <t>recurrence, base cases D1-D4, characteristic equation closed form</t>
        </is>
      </c>
      <c r="H26" s="2" t="inlineStr">
        <is>
          <t>yes</t>
        </is>
      </c>
      <c r="I26" s="2" t="inlineStr">
        <is>
          <t>recurrence via expansion, characteristic roots, corner entries as base cases</t>
        </is>
      </c>
      <c r="J26" s="2" t="inlineStr">
        <is>
          <t>yes-&gt;yes</t>
        </is>
      </c>
    </row>
    <row r="27">
      <c r="A27" s="2" t="n">
        <v>452</v>
      </c>
      <c r="B27" s="2" t="inlineStr">
        <is>
          <t>q_4515</t>
        </is>
      </c>
      <c r="C27" s="2" t="inlineStr">
        <is>
          <t>Mathematics -&gt; Precalculus -&gt; Functions</t>
        </is>
      </c>
      <c r="D27" s="2" t="n">
        <v>4.5</v>
      </c>
      <c r="E27" s="2" t="inlineStr">
        <is>
          <t>Find the x-coordinate of the intercept, other than $x=1$, between the circle $x^2 + y^2 = 1$ and the function $y = \log(</t>
        </is>
      </c>
      <c r="F27" s="2" t="inlineStr">
        <is>
          <t>yes</t>
        </is>
      </c>
      <c r="G27" s="2" t="inlineStr">
        <is>
          <t>numerical root-finding via sign-change bracketing, excludes x=1</t>
        </is>
      </c>
      <c r="H27" s="2" t="inlineStr">
        <is>
          <t>yes</t>
        </is>
      </c>
      <c r="I27" s="2" t="inlineStr">
        <is>
          <t>numerical root-finding via sign-change localization and refinement</t>
        </is>
      </c>
      <c r="J27" s="2" t="inlineStr">
        <is>
          <t>yes-&gt;yes</t>
        </is>
      </c>
    </row>
    <row r="28">
      <c r="A28" s="2" t="n">
        <v>477</v>
      </c>
      <c r="B28" s="2" t="inlineStr">
        <is>
          <t>q_1500</t>
        </is>
      </c>
      <c r="C28" s="2" t="inlineStr">
        <is>
          <t>Mathematics -&gt; Calculus -&gt; Integral Calculus -&gt; Applications of Integrals</t>
        </is>
      </c>
      <c r="D28" s="2" t="n">
        <v>8</v>
      </c>
      <c r="E28" s="2" t="inlineStr">
        <is>
          <t>Calculate the area bounded by the curve \((x^2+y^2)^2=a^2(x^2-y^2)\), where \(a\) is a real constant, using double integ</t>
        </is>
      </c>
      <c r="F28" s="2" t="inlineStr">
        <is>
          <t>yes</t>
        </is>
      </c>
      <c r="G28" s="2" t="inlineStr">
        <is>
          <t>polar transform, domain analysis cos2θ≥0, Jacobian double integral</t>
        </is>
      </c>
      <c r="H28" s="2" t="inlineStr">
        <is>
          <t>yes</t>
        </is>
      </c>
      <c r="I28" s="2" t="inlineStr">
        <is>
          <t>polar transform, cos2θ≥0 domain analysis, lobe symmetry</t>
        </is>
      </c>
      <c r="J28" s="2" t="inlineStr">
        <is>
          <t>yes-&gt;yes</t>
        </is>
      </c>
    </row>
    <row r="29">
      <c r="A29" s="2" t="n">
        <v>504</v>
      </c>
      <c r="B29" s="2" t="inlineStr">
        <is>
          <t>q_64345</t>
        </is>
      </c>
      <c r="C29" s="2" t="inlineStr">
        <is>
          <t>Mathematics -&gt; Algebra -&gt; Intermediate Algebra -&gt; Other</t>
        </is>
      </c>
      <c r="D29" s="2" t="n">
        <v>5</v>
      </c>
      <c r="E29" s="2" t="inlineStr">
        <is>
          <t>Given the two infinite continued fractions $A$ and $B$ below, determine which is larger: $2A$ or $B$?  $$A = 1 +\dfrac{1</t>
        </is>
      </c>
      <c r="F29" s="2" t="inlineStr">
        <is>
          <t>yes</t>
        </is>
      </c>
      <c r="G29" s="2" t="inlineStr">
        <is>
          <t>x=f(x) quadratics, golden/silver ratios, radical comparison</t>
        </is>
      </c>
      <c r="H29" s="2" t="inlineStr">
        <is>
          <t>yes</t>
        </is>
      </c>
      <c r="I29" s="2" t="inlineStr">
        <is>
          <t>solved x=f(x) quadratics, compared exact radicals</t>
        </is>
      </c>
      <c r="J29" s="2" t="inlineStr">
        <is>
          <t>yes-&gt;yes</t>
        </is>
      </c>
    </row>
    <row r="30">
      <c r="A30" s="2" t="n">
        <v>540</v>
      </c>
      <c r="B30" s="2" t="inlineStr">
        <is>
          <t>q_58147</t>
        </is>
      </c>
      <c r="C30" s="2" t="inlineStr">
        <is>
          <t>Mathematics -&gt; Precalculus -&gt; Limits</t>
        </is>
      </c>
      <c r="D30" s="2" t="n">
        <v>6</v>
      </c>
      <c r="E30" s="2" t="inlineStr">
        <is>
          <t>Evaluate the limit: $$\lim_{x \to \infty}\ln{\frac{x+\sqrt{x^2+1}}{x+\sqrt{x^2-1}}}\cdot \left(\ln{\frac{x+1}{x-1}}\righ</t>
        </is>
      </c>
      <c r="F30" s="2" t="inlineStr">
        <is>
          <t>yes</t>
        </is>
      </c>
      <c r="G30" s="2" t="inlineStr">
        <is>
          <t>sqrt and log infinitesimal approximations, leading-order ratio comparison</t>
        </is>
      </c>
      <c r="H30" s="2" t="inlineStr">
        <is>
          <t>yes</t>
        </is>
      </c>
      <c r="I30" s="2" t="inlineStr">
        <is>
          <t>infinitesimal sqrt/log approximations, leading-order comparison</t>
        </is>
      </c>
      <c r="J30" s="2" t="inlineStr">
        <is>
          <t>yes-&gt;yes</t>
        </is>
      </c>
    </row>
    <row r="31">
      <c r="A31" s="2" t="n">
        <v>542</v>
      </c>
      <c r="B31" s="2" t="inlineStr">
        <is>
          <t>q_37835</t>
        </is>
      </c>
      <c r="C31" s="2" t="inlineStr">
        <is>
          <t>Mathematics -&gt; Number Theory -&gt; Congruences</t>
        </is>
      </c>
      <c r="D31" s="2" t="n">
        <v>5</v>
      </c>
      <c r="E31" s="2" t="inlineStr">
        <is>
          <t>Determine the number \( x \) such that \( 579^{65} \equiv x \pmod{679} \) and \( x &lt; 676 \). Given the pattern: \( 579^2</t>
        </is>
      </c>
      <c r="F31" s="2" t="inlineStr">
        <is>
          <t>yes</t>
        </is>
      </c>
      <c r="G31" s="2" t="inlineStr">
        <is>
          <t>binary 65=64+1, mapped given squares to square-and-multiply</t>
        </is>
      </c>
      <c r="H31" s="2" t="inlineStr">
        <is>
          <t>yes</t>
        </is>
      </c>
      <c r="I31" s="2" t="inlineStr">
        <is>
          <t>square-and-multiply using given squares, 65=64+1, constraint check</t>
        </is>
      </c>
      <c r="J31" s="2" t="inlineStr">
        <is>
          <t>yes-&gt;yes</t>
        </is>
      </c>
    </row>
    <row r="32">
      <c r="A32" s="2" t="n">
        <v>549</v>
      </c>
      <c r="B32" s="2" t="inlineStr">
        <is>
          <t>q_91274</t>
        </is>
      </c>
      <c r="C32" s="2" t="inlineStr">
        <is>
          <t>Mathematics -&gt; Precalculus -&gt; Trigonometric Functions</t>
        </is>
      </c>
      <c r="D32" s="2" t="n">
        <v>7.5</v>
      </c>
      <c r="E32" s="2" t="inlineStr">
        <is>
          <t xml:space="preserve">Triangle $\triangle ABC$ has circumcenter $O$ and incircle $\gamma$. Given that $\angle BAC = 60^\circ$ and $O$ lies on </t>
        </is>
      </c>
      <c r="F32" s="2" t="inlineStr">
        <is>
          <t>yes</t>
        </is>
      </c>
      <c r="G32" s="2" t="inlineStr">
        <is>
          <t>Euler OI²=R(R−2r), half-angle product, cos(B−C) tan identity</t>
        </is>
      </c>
      <c r="H32" s="2" t="inlineStr">
        <is>
          <t>yes</t>
        </is>
      </c>
      <c r="I32" s="2" t="inlineStr">
        <is>
          <t>Euler OI²=R(R-2r) quadratic, cos(B-C) identity, conjugate rationalization</t>
        </is>
      </c>
      <c r="J32" s="2" t="inlineStr">
        <is>
          <t>yes-&gt;yes</t>
        </is>
      </c>
    </row>
    <row r="33">
      <c r="A33" s="2" t="n">
        <v>553</v>
      </c>
      <c r="B33" s="2" t="inlineStr">
        <is>
          <t>q_102507</t>
        </is>
      </c>
      <c r="C33" s="2" t="inlineStr">
        <is>
          <t>Mathematics -&gt; Algebra -&gt; Prealgebra -&gt; Integers</t>
        </is>
      </c>
      <c r="D33" s="2" t="n">
        <v>4</v>
      </c>
      <c r="E33" s="2" t="inlineStr">
        <is>
          <t>The integers 195 and 61 are expressed in base 4 and added.  What is the resulting sum, expressed in base 4?</t>
        </is>
      </c>
      <c r="F33" s="2" t="inlineStr">
        <is>
          <t>yes</t>
        </is>
      </c>
      <c r="G33" s="2" t="inlineStr">
        <is>
          <t>added in base 10, converted 256 to base 4</t>
        </is>
      </c>
      <c r="H33" s="2" t="inlineStr">
        <is>
          <t>yes</t>
        </is>
      </c>
      <c r="I33" s="2" t="inlineStr">
        <is>
          <t>converts to base 10, adds, converts sum back to base 4</t>
        </is>
      </c>
      <c r="J33" s="2" t="inlineStr">
        <is>
          <t>yes-&gt;yes</t>
        </is>
      </c>
    </row>
    <row r="34">
      <c r="A34" s="2" t="n">
        <v>575</v>
      </c>
      <c r="B34" s="2" t="inlineStr">
        <is>
          <t>q_18064</t>
        </is>
      </c>
      <c r="C34" s="2" t="inlineStr">
        <is>
          <t>Mathematics -&gt; Geometry -&gt; Plane Geometry -&gt; Polygons</t>
        </is>
      </c>
      <c r="D34" s="2" t="n">
        <v>5</v>
      </c>
      <c r="E34" s="2" t="inlineStr">
        <is>
          <t>Find the ratio \( \frac{R}{r} \) where \( R \) is the radius of the circumscribed circle of a trapezoid and \( r \) is t</t>
        </is>
      </c>
      <c r="F34" s="2" t="inlineStr">
        <is>
          <t>yes</t>
        </is>
      </c>
      <c r="G34" s="2" t="inlineStr">
        <is>
          <t>bicentric conditions, r=h/2, symmetric square case gives answer</t>
        </is>
      </c>
      <c r="H34" s="2" t="inlineStr">
        <is>
          <t>yes</t>
        </is>
      </c>
      <c r="I34" s="2" t="inlineStr">
        <is>
          <t>used bicentric conditions, r=h/2, tested symmetric cases</t>
        </is>
      </c>
      <c r="J34" s="2" t="inlineStr">
        <is>
          <t>yes-&gt;yes</t>
        </is>
      </c>
    </row>
    <row r="35">
      <c r="A35" s="2" t="n">
        <v>585</v>
      </c>
      <c r="B35" s="2" t="inlineStr">
        <is>
          <t>q_69458</t>
        </is>
      </c>
      <c r="C35" s="2" t="inlineStr">
        <is>
          <t>Mathematics -&gt; Geometry -&gt; Plane Geometry -&gt; Polygons</t>
        </is>
      </c>
      <c r="D35" s="2" t="n">
        <v>6</v>
      </c>
      <c r="E35" s="2" t="inlineStr">
        <is>
          <t>Determine the packing density of the heptomino P on a square grid.</t>
        </is>
      </c>
      <c r="F35" s="2" t="inlineStr">
        <is>
          <t>yes</t>
        </is>
      </c>
      <c r="G35" s="2" t="inlineStr">
        <is>
          <t>bounding box, dimer attempt, minimal unit cell area 8, density 7/8</t>
        </is>
      </c>
      <c r="H35" s="2" t="inlineStr">
        <is>
          <t>unclear</t>
        </is>
      </c>
      <c r="I35" s="2" t="inlineStr">
        <is>
          <t>mentions dimer/unit-cell but asserts 7/10 without construction</t>
        </is>
      </c>
      <c r="J35" s="2" t="inlineStr">
        <is>
          <t>yes-&gt;unclear</t>
        </is>
      </c>
    </row>
    <row r="36">
      <c r="A36" s="2" t="n">
        <v>588</v>
      </c>
      <c r="B36" s="2" t="inlineStr">
        <is>
          <t>q_82460</t>
        </is>
      </c>
      <c r="C36" s="2" t="inlineStr">
        <is>
          <t>Mathematics -&gt; Calculus -&gt; Integral Calculus -&gt; Applications of Integrals</t>
        </is>
      </c>
      <c r="D36" s="2" t="n">
        <v>6</v>
      </c>
      <c r="E36" s="2" t="inlineStr">
        <is>
          <t>Calculate the limit: $$\lim_{n\to\infty} e^{-n} \sum_{k=0}^{n} \frac{n^k}{k!}$$</t>
        </is>
      </c>
      <c r="F36" s="2" t="inlineStr">
        <is>
          <t>yes</t>
        </is>
      </c>
      <c r="G36" s="2" t="inlineStr">
        <is>
          <t>Poisson CDF interpretation plus CLT standardization to 1/2</t>
        </is>
      </c>
      <c r="H36" s="2" t="inlineStr">
        <is>
          <t>yes</t>
        </is>
      </c>
      <c r="I36" s="2" t="inlineStr">
        <is>
          <t>Poisson CDF interpretation plus CLT symmetry at mean</t>
        </is>
      </c>
      <c r="J36" s="2" t="inlineStr">
        <is>
          <t>yes-&gt;yes</t>
        </is>
      </c>
    </row>
    <row r="37">
      <c r="A37" s="2" t="n">
        <v>589</v>
      </c>
      <c r="B37" s="2" t="inlineStr">
        <is>
          <t>q_33112</t>
        </is>
      </c>
      <c r="C37" s="2" t="inlineStr">
        <is>
          <t>Mathematics -&gt; Calculus -&gt; Integral Calculus -&gt; Techniques of Integration -&gt; Single-variable</t>
        </is>
      </c>
      <c r="D37" s="2" t="n">
        <v>7.5</v>
      </c>
      <c r="E37" s="2" t="inlineStr">
        <is>
          <t>Evaluate the integral \( \int_{0}^{\infty}\frac{\sin^{2}(t)}{t^{2}}dt \) using the Laplace transform and the identity \(</t>
        </is>
      </c>
      <c r="F37" s="2" t="inlineStr">
        <is>
          <t>unclear</t>
        </is>
      </c>
      <c r="G37" s="2" t="inlineStr">
        <is>
          <t>started Laplace identity and power-reduction, abandoned, asserted answer</t>
        </is>
      </c>
      <c r="H37" s="2" t="inlineStr">
        <is>
          <t>unclear</t>
        </is>
      </c>
      <c r="I37" s="2" t="inlineStr">
        <is>
          <t>starts power reduction and Laplace identity, all paths fail, asserts answer</t>
        </is>
      </c>
      <c r="J37" s="2" t="inlineStr">
        <is>
          <t>unclear-&gt;unclear</t>
        </is>
      </c>
    </row>
    <row r="38">
      <c r="A38" s="2" t="n">
        <v>594</v>
      </c>
      <c r="B38" s="2" t="inlineStr">
        <is>
          <t>q_50794</t>
        </is>
      </c>
      <c r="C38" s="2" t="inlineStr">
        <is>
          <t>Mathematics -&gt; Calculus -&gt; Integral Calculus -&gt; Techniques of Integration -&gt; Multi-variable</t>
        </is>
      </c>
      <c r="D38" s="2" t="n">
        <v>8</v>
      </c>
      <c r="E38" s="2" t="inlineStr">
        <is>
          <t>Determine if the Mellin transform of the function \( f(t) = e^{-t} \int_0^t e^w g(w)\,dw \) converges in the strip \( a&lt;</t>
        </is>
      </c>
      <c r="F38" s="2" t="inlineStr">
        <is>
          <t>yes</t>
        </is>
      </c>
      <c r="G38" s="2" t="inlineStr">
        <is>
          <t>Fubini swap, incomplete Gamma kernel, w^{s-1} asymptotics, same strip</t>
        </is>
      </c>
      <c r="H38" s="2" t="inlineStr">
        <is>
          <t>yes</t>
        </is>
      </c>
      <c r="I38" s="2" t="inlineStr">
        <is>
          <t>Fubini swap, incomplete Gamma kernel, boundary asymptotics preserved strip</t>
        </is>
      </c>
      <c r="J38" s="2" t="inlineStr">
        <is>
          <t>yes-&gt;yes</t>
        </is>
      </c>
    </row>
    <row r="39">
      <c r="A39" s="2" t="n">
        <v>597</v>
      </c>
      <c r="B39" s="2" t="inlineStr">
        <is>
          <t>q_90811</t>
        </is>
      </c>
      <c r="C39" s="2" t="inlineStr">
        <is>
          <t>Mathematics -&gt; Geometry -&gt; Plane Geometry -&gt; Area</t>
        </is>
      </c>
      <c r="D39" s="2" t="n">
        <v>4.5</v>
      </c>
      <c r="E39" s="2" t="inlineStr">
        <is>
          <t xml:space="preserve">Two rectangles are drawn on a sheet of graph paper. The first rectangle has a vertical side shorter than its horizontal </t>
        </is>
      </c>
      <c r="F39" s="2" t="inlineStr">
        <is>
          <t>yes</t>
        </is>
      </c>
      <c r="G39" s="2" t="inlineStr">
        <is>
          <t>min-of-sides product, divisor pair enumeration, maximized bottleneck</t>
        </is>
      </c>
      <c r="H39" s="2" t="inlineStr">
        <is>
          <t>yes</t>
        </is>
      </c>
      <c r="I39" s="2" t="inlineStr">
        <is>
          <t>min×min intersection, tested divisor pairs of 2015 and 2016</t>
        </is>
      </c>
      <c r="J39" s="2" t="inlineStr">
        <is>
          <t>yes-&gt;yes</t>
        </is>
      </c>
    </row>
    <row r="40">
      <c r="A40" s="2" t="n">
        <v>669</v>
      </c>
      <c r="B40" s="2" t="inlineStr">
        <is>
          <t>q_14806</t>
        </is>
      </c>
      <c r="C40" s="2" t="inlineStr">
        <is>
          <t>Mathematics -&gt; Calculus -&gt; Integral Calculus -&gt; Techniques of Integration -&gt; Multi-variable</t>
        </is>
      </c>
      <c r="D40" s="2" t="n">
        <v>8</v>
      </c>
      <c r="E40" s="2" t="inlineStr">
        <is>
          <t>Evaluate the integral \( \int_{-\infty}^{\infty}\frac{\sin(5x)}{1+(x-\frac{\pi}{2})^2} \, dx \) using the residue theore</t>
        </is>
      </c>
      <c r="F40" s="2" t="inlineStr">
        <is>
          <t>yes</t>
        </is>
      </c>
      <c r="G40" s="2" t="inlineStr">
        <is>
          <t>complex exponential, shift substitution, phase factor, UHP residue</t>
        </is>
      </c>
      <c r="H40" s="2" t="inlineStr">
        <is>
          <t>yes</t>
        </is>
      </c>
      <c r="I40" s="2" t="inlineStr">
        <is>
          <t>shift substitution, e^{5iz} exponential, UHP residue at i</t>
        </is>
      </c>
      <c r="J40" s="2" t="inlineStr">
        <is>
          <t>yes-&gt;yes</t>
        </is>
      </c>
    </row>
    <row r="41">
      <c r="A41" s="2" t="n">
        <v>685</v>
      </c>
      <c r="B41" s="2" t="inlineStr">
        <is>
          <t>q_28880</t>
        </is>
      </c>
      <c r="C41" s="2" t="inlineStr">
        <is>
          <t>Mathematics -&gt; Calculus -&gt; Differential Calculus -&gt; Applications of Derivatives</t>
        </is>
      </c>
      <c r="D41" s="2" t="n">
        <v>5.5</v>
      </c>
      <c r="E41" s="2" t="inlineStr">
        <is>
          <t>Evaluate the limit \( \lim_{x \to 0} \frac{(\sin(x-x^2))^2 - x^2 + 2x^3}{\sin^{4}(2x)} \) using Taylor series.</t>
        </is>
      </c>
      <c r="F41" s="2" t="inlineStr">
        <is>
          <t>yes</t>
        </is>
      </c>
      <c r="G41" s="2" t="inlineStr">
        <is>
          <t>Taylor expands nested numerator to x^4 against 16x^4 denominator</t>
        </is>
      </c>
      <c r="H41" s="2" t="inlineStr">
        <is>
          <t>yes</t>
        </is>
      </c>
      <c r="I41" s="2" t="inlineStr">
        <is>
          <t>Taylor expanded nested sine, cancelled targets, leading denominator term</t>
        </is>
      </c>
      <c r="J41" s="2" t="inlineStr">
        <is>
          <t>yes-&gt;yes</t>
        </is>
      </c>
    </row>
    <row r="42">
      <c r="A42" s="2" t="n">
        <v>717</v>
      </c>
      <c r="B42" s="2" t="inlineStr">
        <is>
          <t>q_34096</t>
        </is>
      </c>
      <c r="C42" s="2" t="inlineStr">
        <is>
          <t>Mathematics -&gt; Algebra -&gt; Intermediate Algebra -&gt; Other</t>
        </is>
      </c>
      <c r="D42" s="2" t="n">
        <v>8</v>
      </c>
      <c r="E42" s="2" t="inlineStr">
        <is>
          <t xml:space="preserve">Determine whether the formula \( \sum_{k=0}^{2n}(-1)^k{2n\choose k}2^kF_{k+1}=5^n \) holds for all integer values of \( </t>
        </is>
      </c>
      <c r="F42" s="2" t="inlineStr">
        <is>
          <t>yes</t>
        </is>
      </c>
      <c r="G42" s="2" t="inlineStr">
        <is>
          <t>Binet substitution plus binomial theorem, uses 1-2alpha=-sqrt5</t>
        </is>
      </c>
      <c r="H42" s="2" t="inlineStr">
        <is>
          <t>yes</t>
        </is>
      </c>
      <c r="I42" s="2" t="inlineStr">
        <is>
          <t>Binet substitution then binomial theorem with 1−2α=−√5</t>
        </is>
      </c>
      <c r="J42" s="2" t="inlineStr">
        <is>
          <t>yes-&gt;yes</t>
        </is>
      </c>
    </row>
    <row r="43">
      <c r="A43" s="2" t="n">
        <v>720</v>
      </c>
      <c r="B43" s="2" t="inlineStr">
        <is>
          <t>q_37725</t>
        </is>
      </c>
      <c r="C43" s="2" t="inlineStr">
        <is>
          <t>Mathematics -&gt; Algebra -&gt; Abstract Algebra -&gt; Other</t>
        </is>
      </c>
      <c r="D43" s="2" t="n">
        <v>7</v>
      </c>
      <c r="E43" s="2" t="inlineStr">
        <is>
          <t>If every proper closed subset of a metric space is complete, does it imply that the entire metric space is complete?</t>
        </is>
      </c>
      <c r="F43" s="2" t="inlineStr">
        <is>
          <t>yes</t>
        </is>
      </c>
      <c r="G43" s="2" t="inlineStr">
        <is>
          <t>contrapositive with Cauchy-sequence set as proper closed subset</t>
        </is>
      </c>
      <c r="H43" s="2" t="inlineStr">
        <is>
          <t>unclear</t>
        </is>
      </c>
      <c r="I43" s="2" t="inlineStr">
        <is>
          <t>started contrapositive sequence-to-set, abandoned, concluded via counterexample</t>
        </is>
      </c>
      <c r="J43" s="2" t="inlineStr">
        <is>
          <t>yes-&gt;unclear</t>
        </is>
      </c>
    </row>
    <row r="44">
      <c r="A44" s="2" t="n">
        <v>727</v>
      </c>
      <c r="B44" s="2" t="inlineStr">
        <is>
          <t>q_89068</t>
        </is>
      </c>
      <c r="C44" s="2" t="inlineStr">
        <is>
          <t>Mathematics -&gt; Geometry -&gt; Plane Geometry -&gt; Triangulations</t>
        </is>
      </c>
      <c r="D44" s="2" t="n">
        <v>5</v>
      </c>
      <c r="E44" s="2" t="inlineStr">
        <is>
          <t>In the given figure, \(\angle ABE = \angle DCF = 90^{\circ}\), \(AB = 3\), \(DC = 5\), \(BC = 6\), and \(BE = EF = FC\).</t>
        </is>
      </c>
      <c r="F44" s="2" t="inlineStr">
        <is>
          <t>yes</t>
        </is>
      </c>
      <c r="G44" s="2" t="inlineStr">
        <is>
          <t>coordinates, line intersection, shoelace areas as fractions 65/16, 33/16</t>
        </is>
      </c>
      <c r="H44" s="2" t="inlineStr">
        <is>
          <t>yes</t>
        </is>
      </c>
      <c r="I44" s="2" t="inlineStr">
        <is>
          <t>coordinates on base, line intersection, shoelace areas</t>
        </is>
      </c>
      <c r="J44" s="2" t="inlineStr">
        <is>
          <t>yes-&gt;yes</t>
        </is>
      </c>
    </row>
    <row r="45">
      <c r="A45" s="2" t="n">
        <v>737</v>
      </c>
      <c r="B45" s="2" t="inlineStr">
        <is>
          <t>q_50259</t>
        </is>
      </c>
      <c r="C45" s="2" t="inlineStr">
        <is>
          <t>Mathematics -&gt; Calculus -&gt; Integral Calculus -&gt; Applications of Integrals</t>
        </is>
      </c>
      <c r="D45" s="2" t="n">
        <v>8</v>
      </c>
      <c r="E45" s="2" t="inlineStr">
        <is>
          <t>Compute the flux of \( \nabla \times G \) exiting from the surface \( S = \{(x,y,z): x^2+y^2+z^2 = 4, x^2+y^2 \leq 2, z&gt;</t>
        </is>
      </c>
      <c r="F45" s="2" t="inlineStr">
        <is>
          <t>yes</t>
        </is>
      </c>
      <c r="G45" s="2" t="inlineStr">
        <is>
          <t>converts curl flux to boundary line integral, parametrizes circle</t>
        </is>
      </c>
      <c r="H45" s="2" t="inlineStr">
        <is>
          <t>yes</t>
        </is>
      </c>
      <c r="I45" s="2" t="inlineStr">
        <is>
          <t>Stokes theorem, boundary circle z=sqrt2, parametrized line integral</t>
        </is>
      </c>
      <c r="J45" s="2" t="inlineStr">
        <is>
          <t>yes-&gt;yes</t>
        </is>
      </c>
    </row>
    <row r="46">
      <c r="A46" s="2" t="n">
        <v>741</v>
      </c>
      <c r="B46" s="2" t="inlineStr">
        <is>
          <t>q_34614</t>
        </is>
      </c>
      <c r="C46" s="2" t="inlineStr">
        <is>
          <t>Mathematics -&gt; Algebra -&gt; Intermediate Algebra -&gt; Other</t>
        </is>
      </c>
      <c r="D46" s="2" t="n">
        <v>7.5</v>
      </c>
      <c r="E46" s="2" t="inlineStr">
        <is>
          <t>Suppose that $n$ is a given even number, and let $a_1, a_2, \ldots, a_n$ be nonnegative real numbers such that \(a_1 + a</t>
        </is>
      </c>
      <c r="F46" s="2" t="inlineStr">
        <is>
          <t>yes</t>
        </is>
      </c>
      <c r="G46" s="2" t="inlineStr">
        <is>
          <t>small even cases, antipodal mass configurations, quadratic-form identity bound</t>
        </is>
      </c>
      <c r="H46" s="2" t="inlineStr">
        <is>
          <t>unclear</t>
        </is>
      </c>
      <c r="I46" s="2" t="inlineStr">
        <is>
          <t>mixed distributions tested; final n²/8 disconnected from method</t>
        </is>
      </c>
      <c r="J46" s="2" t="inlineStr">
        <is>
          <t>yes-&gt;unclear</t>
        </is>
      </c>
    </row>
    <row r="47">
      <c r="A47" s="2" t="n">
        <v>747</v>
      </c>
      <c r="B47" s="2" t="inlineStr">
        <is>
          <t>q_101678</t>
        </is>
      </c>
      <c r="C47" s="2" t="inlineStr">
        <is>
          <t>Mathematics -&gt; Geometry -&gt; Plane Geometry -&gt; Angles</t>
        </is>
      </c>
      <c r="D47" s="2" t="n">
        <v>5</v>
      </c>
      <c r="E47" s="2" t="inlineStr">
        <is>
          <t xml:space="preserve">The trisectors of angles $B$ and $C$ of scalene triangle $ABC$ meet at points $P$ and $Q$, as shown. Angle $A$ measures </t>
        </is>
      </c>
      <c r="F47" s="2" t="inlineStr">
        <is>
          <t>yes</t>
        </is>
      </c>
      <c r="G47" s="2" t="inlineStr">
        <is>
          <t>trisector sub-angles, angle sum, sub-triangle BPC gives 133</t>
        </is>
      </c>
      <c r="H47" s="2" t="inlineStr">
        <is>
          <t>yes</t>
        </is>
      </c>
      <c r="I47" s="2" t="inlineStr">
        <is>
          <t>trisector sub-angles 3x, sub-triangle BPC angle sum</t>
        </is>
      </c>
      <c r="J47" s="2" t="inlineStr">
        <is>
          <t>yes-&gt;yes</t>
        </is>
      </c>
    </row>
    <row r="48">
      <c r="A48" s="2" t="n">
        <v>764</v>
      </c>
      <c r="B48" s="2" t="inlineStr">
        <is>
          <t>q_23610</t>
        </is>
      </c>
      <c r="C48" s="2" t="inlineStr">
        <is>
          <t>Mathematics -&gt; Precalculus -&gt; Limits</t>
        </is>
      </c>
      <c r="D48" s="2" t="n">
        <v>4.5</v>
      </c>
      <c r="E48" s="2" t="inlineStr">
        <is>
          <t>Evaluate the limit: \[ \lim_{x\rightarrow 0} \left[ \csc^2(2x) - \frac{1}{4x^2} \right] \]</t>
        </is>
      </c>
      <c r="F48" s="2" t="inlineStr">
        <is>
          <t>yes</t>
        </is>
      </c>
      <c r="G48" s="2" t="inlineStr">
        <is>
          <t>Laurent expansion of csc^2 via factored geometric series, constant 1/3</t>
        </is>
      </c>
      <c r="H48" s="2" t="inlineStr">
        <is>
          <t>yes</t>
        </is>
      </c>
      <c r="I48" s="2" t="inlineStr">
        <is>
          <t>factored 2x, geometric series inversion, squared series expansion</t>
        </is>
      </c>
      <c r="J48" s="2" t="inlineStr">
        <is>
          <t>yes-&gt;yes</t>
        </is>
      </c>
    </row>
    <row r="49">
      <c r="A49" s="2" t="n">
        <v>767</v>
      </c>
      <c r="B49" s="2" t="inlineStr">
        <is>
          <t>q_95243</t>
        </is>
      </c>
      <c r="C49" s="2" t="inlineStr">
        <is>
          <t>Mathematics -&gt; Algebra -&gt; Algebra -&gt; Equations and Inequalities</t>
        </is>
      </c>
      <c r="D49" s="2" t="n">
        <v>5</v>
      </c>
      <c r="E49" s="2" t="inlineStr">
        <is>
          <t>Find all real values of $a$ for which the polynomial \[x^4 + ax^3 - x^2 + ax + 1 = 0\]has at least one real root.</t>
        </is>
      </c>
      <c r="F49" s="2" t="inlineStr">
        <is>
          <t>yes</t>
        </is>
      </c>
      <c r="G49" s="2" t="inlineStr">
        <is>
          <t>y=x+1/x substitution, |y|≥2 constraint, sign-split squaring</t>
        </is>
      </c>
      <c r="H49" s="2" t="inlineStr">
        <is>
          <t>yes</t>
        </is>
      </c>
      <c r="I49" s="2" t="inlineStr">
        <is>
          <t>y=x+1/x substitution with |y|≥2 constraint analysis</t>
        </is>
      </c>
      <c r="J49" s="2" t="inlineStr">
        <is>
          <t>yes-&gt;yes</t>
        </is>
      </c>
    </row>
    <row r="50">
      <c r="A50" s="2" t="n">
        <v>847</v>
      </c>
      <c r="B50" s="2" t="inlineStr">
        <is>
          <t>q_69979</t>
        </is>
      </c>
      <c r="C50" s="2" t="inlineStr">
        <is>
          <t>Mathematics -&gt; Differential Equations -&gt; Ordinary Differential Equations (ODEs)</t>
        </is>
      </c>
      <c r="D50" s="2" t="n">
        <v>6</v>
      </c>
      <c r="E50" s="2" t="inlineStr">
        <is>
          <t>Find a particular solution for the differential equation \( y'' - 4y' + 4y = e^{2x}\cos x \) using the method of variati</t>
        </is>
      </c>
      <c r="F50" s="2" t="inlineStr">
        <is>
          <t>yes</t>
        </is>
      </c>
      <c r="G50" s="2" t="inlineStr">
        <is>
          <t>variation of parameters: Wronskian, u1/u2 integrals, cancellation</t>
        </is>
      </c>
      <c r="H50" s="2" t="inlineStr">
        <is>
          <t>yes</t>
        </is>
      </c>
      <c r="I50" s="2" t="inlineStr">
        <is>
          <t>variation of parameters with Wronskian and term cancellation</t>
        </is>
      </c>
      <c r="J50" s="2" t="inlineStr">
        <is>
          <t>yes-&gt;yes</t>
        </is>
      </c>
    </row>
    <row r="51">
      <c r="A51" s="2" t="n">
        <v>862</v>
      </c>
      <c r="B51" s="2" t="inlineStr">
        <is>
          <t>q_4122</t>
        </is>
      </c>
      <c r="C51" s="2" t="inlineStr">
        <is>
          <t>Mathematics -&gt; Applied Mathematics -&gt; Statistics -&gt; Probability -&gt; Counting Methods -&gt; Combinations</t>
        </is>
      </c>
      <c r="D51" s="2" t="n">
        <v>5</v>
      </c>
      <c r="E51" s="2" t="inlineStr">
        <is>
          <t>Given three independent and identically distributed random variables $X, Y, Z$ following a Uniform $(0,1)$ distribution,</t>
        </is>
      </c>
      <c r="F51" s="2" t="inlineStr">
        <is>
          <t>yes</t>
        </is>
      </c>
      <c r="G51" s="2" t="inlineStr">
        <is>
          <t>conditioning to expectation with 1-yz substitution, then integrated</t>
        </is>
      </c>
      <c r="H51" s="2" t="inlineStr">
        <is>
          <t>yes</t>
        </is>
      </c>
      <c r="I51" s="2" t="inlineStr">
        <is>
          <t>conditioned to expectation, 1-YZ substitution, product of means</t>
        </is>
      </c>
      <c r="J51" s="2" t="inlineStr">
        <is>
          <t>yes-&gt;yes</t>
        </is>
      </c>
    </row>
    <row r="52">
      <c r="A52" s="2" t="n">
        <v>872</v>
      </c>
      <c r="B52" s="2" t="inlineStr">
        <is>
          <t>q_85323</t>
        </is>
      </c>
      <c r="C52" s="2" t="inlineStr">
        <is>
          <t>Mathematics -&gt; Number Theory -&gt; Factorization</t>
        </is>
      </c>
      <c r="D52" s="2" t="n">
        <v>5</v>
      </c>
      <c r="E52" s="2" t="inlineStr">
        <is>
          <t>Given a positive integer \( n \), the sum of any two of its positive divisors results in unique sums. The sums, in ascen</t>
        </is>
      </c>
      <c r="F52" s="2" t="inlineStr">
        <is>
          <t>yes</t>
        </is>
      </c>
      <c r="G52" s="2" t="inlineStr">
        <is>
          <t>C(k,2)=15 gives k=6, greedy reconstruction with verification, anchors 1,n</t>
        </is>
      </c>
      <c r="H52" s="2" t="inlineStr">
        <is>
          <t>unclear</t>
        </is>
      </c>
      <c r="I52" s="2" t="inlineStr">
        <is>
          <t>greedy reconstruction attempted, collapsed; answer 30 unjustified guess</t>
        </is>
      </c>
      <c r="J52" s="2" t="inlineStr">
        <is>
          <t>yes-&gt;unclear</t>
        </is>
      </c>
    </row>
    <row r="53">
      <c r="A53" s="2" t="n">
        <v>874</v>
      </c>
      <c r="B53" s="2" t="inlineStr">
        <is>
          <t>q_32858</t>
        </is>
      </c>
      <c r="C53" s="2" t="inlineStr">
        <is>
          <t>Mathematics -&gt; Calculus -&gt; Integral Calculus -&gt; Techniques of Integration -&gt; Single-variable</t>
        </is>
      </c>
      <c r="D53" s="2" t="n">
        <v>6</v>
      </c>
      <c r="E53" s="2" t="inlineStr">
        <is>
          <t>Evaluate the integral \( I_{n} = \int_{-1}^{1} \frac{1}{x} P_{n}(x) P_{n-1}(x) \, dx \) using the recurrence relation \(</t>
        </is>
      </c>
      <c r="F53" s="2" t="inlineStr">
        <is>
          <t>yes</t>
        </is>
      </c>
      <c r="G53" s="2" t="inlineStr">
        <is>
          <t>I1 base case, iterated recurrence, parity closed form verified</t>
        </is>
      </c>
      <c r="H53" s="2" t="inlineStr">
        <is>
          <t>yes</t>
        </is>
      </c>
      <c r="I53" s="2" t="inlineStr">
        <is>
          <t>computed I1 base case, iterated recurrence, parity closed form</t>
        </is>
      </c>
      <c r="J53" s="2" t="inlineStr">
        <is>
          <t>yes-&gt;yes</t>
        </is>
      </c>
    </row>
    <row r="54">
      <c r="A54" s="2" t="n">
        <v>885</v>
      </c>
      <c r="B54" s="2" t="inlineStr">
        <is>
          <t>q_19877</t>
        </is>
      </c>
      <c r="C54" s="2" t="inlineStr">
        <is>
          <t>Mathematics -&gt; Algebra -&gt; Algebra -&gt; Polynomial Operations</t>
        </is>
      </c>
      <c r="D54" s="2" t="n">
        <v>5</v>
      </c>
      <c r="E54" s="2" t="inlineStr">
        <is>
          <t>The roots of the polynomial equation \( x^3 - 3x - 1 = 0 \) are \( a, b, \) and \( c \). Calculate the value of the expr</t>
        </is>
      </c>
      <c r="F54" s="2" t="inlineStr">
        <is>
          <t>no</t>
        </is>
      </c>
      <c r="G54" s="2" t="inlineStr">
        <is>
          <t>shifted polynomial and symmetric sums, no partial-fraction log-derivative</t>
        </is>
      </c>
      <c r="H54" s="2" t="inlineStr">
        <is>
          <t>yes</t>
        </is>
      </c>
      <c r="I54" s="2" t="inlineStr">
        <is>
          <t>partial fractions with complex roots, logarithmic derivative Q'/Q at 1±i</t>
        </is>
      </c>
      <c r="J54" s="2" t="inlineStr">
        <is>
          <t>no-&gt;yes</t>
        </is>
      </c>
    </row>
    <row r="55">
      <c r="A55" s="2" t="n">
        <v>916</v>
      </c>
      <c r="B55" s="2" t="inlineStr">
        <is>
          <t>q_87797</t>
        </is>
      </c>
      <c r="C55" s="2" t="inlineStr">
        <is>
          <t>Mathematics -&gt; Discrete Mathematics -&gt; Combinatorics</t>
        </is>
      </c>
      <c r="D55" s="2" t="n">
        <v>5.5</v>
      </c>
      <c r="E55" s="2" t="inlineStr">
        <is>
          <t>Petya and Vasya are playing a game with numbers written on a board: \(1, 2, 3, \ldots, 99\). Starting with Petya, each p</t>
        </is>
      </c>
      <c r="F55" s="2" t="inlineStr">
        <is>
          <t>unclear</t>
        </is>
      </c>
      <c r="G55" s="2" t="inlineStr">
        <is>
          <t>did coordinate shift but concluded via triple-count parity, no mirroring</t>
        </is>
      </c>
      <c r="H55" s="2" t="inlineStr">
        <is>
          <t>yes</t>
        </is>
      </c>
      <c r="I55" s="2" t="inlineStr">
        <is>
          <t>symmetry around 50, mirroring response (100-a,100-b,100-c)</t>
        </is>
      </c>
      <c r="J55" s="2" t="inlineStr">
        <is>
          <t>unclear-&gt;yes</t>
        </is>
      </c>
    </row>
    <row r="56">
      <c r="A56" s="2" t="n">
        <v>923</v>
      </c>
      <c r="B56" s="2" t="inlineStr">
        <is>
          <t>q_26603</t>
        </is>
      </c>
      <c r="C56" s="2" t="inlineStr">
        <is>
          <t>Mathematics -&gt; Calculus -&gt; Integral Calculus -&gt; Techniques of Integration -&gt; Multi-variable</t>
        </is>
      </c>
      <c r="D56" s="2" t="n">
        <v>8.5</v>
      </c>
      <c r="E56" s="2" t="inlineStr">
        <is>
          <t>Evaluate the series \( \sum_{k=1}^{\infty} e^{-\pi k^2} \left( \pi k^2 - \frac{1}{4} \right) \).</t>
        </is>
      </c>
      <c r="F56" s="2" t="inlineStr">
        <is>
          <t>unclear</t>
        </is>
      </c>
      <c r="G56" s="2" t="inlineStr">
        <is>
          <t>starts parameter differentiation and theta transform, never completes, asserts answer</t>
        </is>
      </c>
      <c r="H56" s="2" t="inlineStr">
        <is>
          <t>yes</t>
        </is>
      </c>
      <c r="I56" s="2" t="inlineStr">
        <is>
          <t>introduced parameter a, differentiated, theta function and Z-sum identity</t>
        </is>
      </c>
      <c r="J56" s="2" t="inlineStr">
        <is>
          <t>unclear-&gt;yes</t>
        </is>
      </c>
    </row>
    <row r="57">
      <c r="A57" s="2" t="n">
        <v>925</v>
      </c>
      <c r="B57" s="2" t="inlineStr">
        <is>
          <t>q_29175</t>
        </is>
      </c>
      <c r="C57" s="2" t="inlineStr">
        <is>
          <t>Mathematics -&gt; Precalculus -&gt; Trigonometric Functions</t>
        </is>
      </c>
      <c r="D57" s="2" t="n">
        <v>6</v>
      </c>
      <c r="E57" s="2" t="inlineStr">
        <is>
          <t xml:space="preserve">In an obtuse-angled triangle, the obtuse angle measures 105º. Determine the value of \( n \) such that the acute angles </t>
        </is>
      </c>
      <c r="F57" s="2" t="inlineStr">
        <is>
          <t>yes</t>
        </is>
      </c>
      <c r="G57" s="2" t="inlineStr">
        <is>
          <t>angle sum 75°, tan quadratic, addition formula solves n</t>
        </is>
      </c>
      <c r="H57" s="2" t="inlineStr">
        <is>
          <t>yes</t>
        </is>
      </c>
      <c r="I57" s="2" t="inlineStr">
        <is>
          <t>angle sum A+B=75, sin/cos conversion, reduces to n=3tan(x)</t>
        </is>
      </c>
      <c r="J57" s="2" t="inlineStr">
        <is>
          <t>yes-&gt;yes</t>
        </is>
      </c>
    </row>
    <row r="58">
      <c r="A58" s="2" t="n">
        <v>931</v>
      </c>
      <c r="B58" s="2" t="inlineStr">
        <is>
          <t>q_97515</t>
        </is>
      </c>
      <c r="C58" s="2" t="inlineStr">
        <is>
          <t>Mathematics -&gt; Algebra -&gt; Algebra -&gt; Equations and Inequalities</t>
        </is>
      </c>
      <c r="D58" s="2" t="n">
        <v>4</v>
      </c>
      <c r="E58" s="2" t="inlineStr">
        <is>
          <t xml:space="preserve">Find the solutions to \[\frac{13x - x^2}{x + 1} \left( x + \frac{13 - x}{x + 1} \right) = 42.\]Enter all the solutions, </t>
        </is>
      </c>
      <c r="F58" s="2" t="inlineStr">
        <is>
          <t>yes</t>
        </is>
      </c>
      <c r="G58" s="2" t="inlineStr">
        <is>
          <t>combined sum, LCD to quartic, rational roots, quadratic formula</t>
        </is>
      </c>
      <c r="H58" s="2" t="inlineStr">
        <is>
          <t>yes</t>
        </is>
      </c>
      <c r="I58" s="2" t="inlineStr">
        <is>
          <t>combined fraction first, rational roots, synthetic division, domain check</t>
        </is>
      </c>
      <c r="J58" s="2" t="inlineStr">
        <is>
          <t>yes-&gt;yes</t>
        </is>
      </c>
    </row>
    <row r="59">
      <c r="A59" s="2" t="n">
        <v>948</v>
      </c>
      <c r="B59" s="2" t="inlineStr">
        <is>
          <t>q_80732</t>
        </is>
      </c>
      <c r="C59" s="2" t="inlineStr">
        <is>
          <t>Mathematics -&gt; Applied Mathematics -&gt; Statistics -&gt; Probability -&gt; Other</t>
        </is>
      </c>
      <c r="D59" s="2" t="n">
        <v>5.5</v>
      </c>
      <c r="E59" s="2" t="inlineStr">
        <is>
          <t>Evaluate the limit \( \lim_{p\rightarrow 0} \frac{P[Bi(n,p) = 1]}{P[Bi(n,p) \geq 2]} \), where \( Bi(n,p) \) denotes a b</t>
        </is>
      </c>
      <c r="F59" s="2" t="inlineStr">
        <is>
          <t>yes</t>
        </is>
      </c>
      <c r="G59" s="2" t="inlineStr">
        <is>
          <t>complement plus Taylor expansion to p^2, degree comparison gives infinity</t>
        </is>
      </c>
      <c r="H59" s="2" t="inlineStr">
        <is>
          <t>yes</t>
        </is>
      </c>
      <c r="I59" s="2" t="inlineStr">
        <is>
          <t>Taylor expanded PMF, complement form, degree comparison, n=1 boundary check</t>
        </is>
      </c>
      <c r="J59" s="2" t="inlineStr">
        <is>
          <t>yes-&gt;yes</t>
        </is>
      </c>
    </row>
    <row r="60">
      <c r="A60" s="2" t="n">
        <v>961</v>
      </c>
      <c r="B60" s="2" t="inlineStr">
        <is>
          <t>q_102260</t>
        </is>
      </c>
      <c r="C60" s="2" t="inlineStr">
        <is>
          <t>Mathematics -&gt; Algebra -&gt; Intermediate Algebra -&gt; Exponential Functions</t>
        </is>
      </c>
      <c r="D60" s="2" t="n">
        <v>4</v>
      </c>
      <c r="E60" s="2" t="inlineStr">
        <is>
          <t>Compute \[\frac{(10^4+324)(22^4+324)(34^4+324)(46^4+324)(58^4+324)}{(4^4+324)(16^4+324)(28^4+324)(40^4+324)(52^4+324)}.\</t>
        </is>
      </c>
      <c r="F60" s="2" t="inlineStr">
        <is>
          <t>yes</t>
        </is>
      </c>
      <c r="G60" s="2" t="inlineStr">
        <is>
          <t>Sophie Germain factorization with telescoping cancellation</t>
        </is>
      </c>
      <c r="H60" s="2" t="inlineStr">
        <is>
          <t>yes</t>
        </is>
      </c>
      <c r="I60" s="2" t="inlineStr">
        <is>
          <t>Sophie Germain factorization then telescoping cancellation of factors</t>
        </is>
      </c>
      <c r="J60" s="2" t="inlineStr">
        <is>
          <t>yes-&gt;yes</t>
        </is>
      </c>
    </row>
    <row r="61">
      <c r="A61" s="2" t="n">
        <v>997</v>
      </c>
      <c r="B61" s="2" t="inlineStr">
        <is>
          <t>q_86473</t>
        </is>
      </c>
      <c r="C61" s="2" t="inlineStr">
        <is>
          <t>Mathematics -&gt; Number Theory -&gt; Prime Numbers</t>
        </is>
      </c>
      <c r="D61" s="2" t="n">
        <v>7</v>
      </c>
      <c r="E61" s="2" t="inlineStr">
        <is>
          <t>Find all sets of prime numbers \((p, q, r, s)\) that satisfy the equation \(p^4 + q^4 + r^4 + 119 = s^2\).</t>
        </is>
      </c>
      <c r="F61" s="2" t="inlineStr">
        <is>
          <t>yes</t>
        </is>
      </c>
      <c r="G61" s="2" t="inlineStr">
        <is>
          <t>mod 16 forces p=2, then difference-of-squares divisor factoring</t>
        </is>
      </c>
      <c r="H61" s="2" t="inlineStr">
        <is>
          <t>yes</t>
        </is>
      </c>
      <c r="I61" s="2" t="inlineStr">
        <is>
          <t>mod 5 forces p=5, factored s²-r⁴ into divisor checks</t>
        </is>
      </c>
      <c r="J61" s="2" t="inlineStr">
        <is>
          <t>yes-&gt;yes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Blinded LLM-judge uptake study - Gemma 3 27B, {q,i} vs {q,i|q,i}</t>
        </is>
      </c>
    </row>
    <row r="2" ht="44" customHeight="1">
      <c r="A2" s="4" t="inlineStr">
        <is>
          <t>All 264 (card, response) pairs judged independently, shuffled, condition and correctness hidden; one fixed rubric identical to the Qwen 7B and Mistral 24B studies (judge: Claude, 2026-07-17). Verdict = does the response APPLY the card's core strategy (solution path, not wording). Improved group: wrong at x1, right at x2. Hurt control: right at x1, wrong at x2.</t>
        </is>
      </c>
    </row>
    <row r="4">
      <c r="A4" s="5" t="inlineStr">
        <is>
          <t>IMPROVED (wrong -&gt; right): verdict counts</t>
        </is>
      </c>
    </row>
    <row r="5">
      <c r="A5" s="6" t="inlineStr">
        <is>
          <t>verdict</t>
        </is>
      </c>
      <c r="B5" s="6" t="inlineStr">
        <is>
          <t>x1 {q,i}</t>
        </is>
      </c>
      <c r="C5" s="6" t="inlineStr">
        <is>
          <t>x2 {q,i|q,i}</t>
        </is>
      </c>
    </row>
    <row r="6">
      <c r="A6" s="2" t="inlineStr">
        <is>
          <t>yes</t>
        </is>
      </c>
      <c r="B6" s="2">
        <f>COUNTIF('Improved (72)'!F$2:F$73,$A6)</f>
        <v/>
      </c>
      <c r="C6" s="2">
        <f>COUNTIF('Improved (72)'!H$2:H$73,$A6)</f>
        <v/>
      </c>
    </row>
    <row r="7">
      <c r="A7" s="2" t="inlineStr">
        <is>
          <t>unclear</t>
        </is>
      </c>
      <c r="B7" s="2">
        <f>COUNTIF('Improved (72)'!F$2:F$73,$A7)</f>
        <v/>
      </c>
      <c r="C7" s="2">
        <f>COUNTIF('Improved (72)'!H$2:H$73,$A7)</f>
        <v/>
      </c>
    </row>
    <row r="8">
      <c r="A8" s="2" t="inlineStr">
        <is>
          <t>no</t>
        </is>
      </c>
      <c r="B8" s="2">
        <f>COUNTIF('Improved (72)'!F$2:F$73,$A8)</f>
        <v/>
      </c>
      <c r="C8" s="2">
        <f>COUNTIF('Improved (72)'!H$2:H$73,$A8)</f>
        <v/>
      </c>
    </row>
    <row r="9">
      <c r="A9" s="2" t="inlineStr">
        <is>
          <t>yes-rate</t>
        </is>
      </c>
      <c r="B9" s="7">
        <f>B6/SUM(B6:B8)</f>
        <v/>
      </c>
      <c r="C9" s="7">
        <f>C6/SUM(C6:C8)</f>
        <v/>
      </c>
    </row>
    <row r="10">
      <c r="A10" s="2" t="inlineStr">
        <is>
          <t>uptake gained (non-yes-&gt;yes)</t>
        </is>
      </c>
      <c r="B10" s="2">
        <f>SUMPRODUCT(('Improved (72)'!F$2:F$73&lt;&gt;"yes")*('Improved (72)'!H$2:H$73="yes"))</f>
        <v/>
      </c>
    </row>
    <row r="11">
      <c r="A11" s="2" t="inlineStr">
        <is>
          <t>uptake lost (yes-&gt;non-yes)</t>
        </is>
      </c>
      <c r="B11" s="2">
        <f>SUMPRODUCT(('Improved (72)'!F$2:F$73="yes")*('Improved (72)'!H$2:H$73&lt;&gt;"yes"))</f>
        <v/>
      </c>
    </row>
    <row r="12">
      <c r="A12" s="2" t="inlineStr">
        <is>
          <t>two-sided sign test p</t>
        </is>
      </c>
      <c r="B12" s="8">
        <f>MIN(1,2*BINOMDIST(MIN(B10,B11),B10+B11,0.5,TRUE))</f>
        <v/>
      </c>
    </row>
    <row r="14">
      <c r="A14" s="5" t="inlineStr">
        <is>
          <t>HURT CONTROL (right -&gt; wrong): verdict counts</t>
        </is>
      </c>
    </row>
    <row r="15">
      <c r="A15" s="6" t="inlineStr">
        <is>
          <t>verdict</t>
        </is>
      </c>
      <c r="B15" s="6" t="inlineStr">
        <is>
          <t>x1 {q,i}</t>
        </is>
      </c>
      <c r="C15" s="6" t="inlineStr">
        <is>
          <t>x2 {q,i|q,i}</t>
        </is>
      </c>
    </row>
    <row r="16">
      <c r="A16" s="2" t="inlineStr">
        <is>
          <t>yes</t>
        </is>
      </c>
      <c r="B16" s="2">
        <f>COUNTIF('Hurt control (60)'!F$2:F$61,$A16)</f>
        <v/>
      </c>
      <c r="C16" s="2">
        <f>COUNTIF('Hurt control (60)'!H$2:H$61,$A16)</f>
        <v/>
      </c>
    </row>
    <row r="17">
      <c r="A17" s="2" t="inlineStr">
        <is>
          <t>unclear</t>
        </is>
      </c>
      <c r="B17" s="2">
        <f>COUNTIF('Hurt control (60)'!F$2:F$61,$A17)</f>
        <v/>
      </c>
      <c r="C17" s="2">
        <f>COUNTIF('Hurt control (60)'!H$2:H$61,$A17)</f>
        <v/>
      </c>
    </row>
    <row r="18">
      <c r="A18" s="2" t="inlineStr">
        <is>
          <t>no</t>
        </is>
      </c>
      <c r="B18" s="2">
        <f>COUNTIF('Hurt control (60)'!F$2:F$61,$A18)</f>
        <v/>
      </c>
      <c r="C18" s="2">
        <f>COUNTIF('Hurt control (60)'!H$2:H$61,$A18)</f>
        <v/>
      </c>
    </row>
    <row r="19">
      <c r="A19" s="2" t="inlineStr">
        <is>
          <t>yes-rate</t>
        </is>
      </c>
      <c r="B19" s="7">
        <f>B16/SUM(B16:B18)</f>
        <v/>
      </c>
      <c r="C19" s="7">
        <f>C16/SUM(C16:C18)</f>
        <v/>
      </c>
    </row>
    <row r="20">
      <c r="A20" s="2" t="inlineStr">
        <is>
          <t>uptake gained (non-yes-&gt;yes)</t>
        </is>
      </c>
      <c r="B20" s="2">
        <f>SUMPRODUCT(('Hurt control (60)'!F$2:F$61&lt;&gt;"yes")*('Hurt control (60)'!H$2:H$61="yes"))</f>
        <v/>
      </c>
    </row>
    <row r="21">
      <c r="A21" s="2" t="inlineStr">
        <is>
          <t>uptake lost (yes-&gt;non-yes)</t>
        </is>
      </c>
      <c r="B21" s="2">
        <f>SUMPRODUCT(('Hurt control (60)'!F$2:F$61="yes")*('Hurt control (60)'!H$2:H$61&lt;&gt;"yes"))</f>
        <v/>
      </c>
    </row>
    <row r="22">
      <c r="A22" s="2" t="inlineStr">
        <is>
          <t>two-sided sign test p</t>
        </is>
      </c>
      <c r="B22" s="8">
        <f>MIN(1,2*BINOMDIST(MIN(B20,B21),B20+B21,0.5,TRUE))</f>
        <v/>
      </c>
    </row>
    <row r="24">
      <c r="A24" s="5" t="inlineStr">
        <is>
          <t>Pooled (both groups, 132 items)</t>
        </is>
      </c>
    </row>
    <row r="25">
      <c r="A25" s="2" t="inlineStr">
        <is>
          <t>yes-rate x1</t>
        </is>
      </c>
      <c r="B25" s="7">
        <f>(COUNTIF('Improved (72)'!F2:F73,"yes")+COUNTIF('Hurt control (60)'!F2:F61,"yes"))/132</f>
        <v/>
      </c>
    </row>
    <row r="26">
      <c r="A26" s="2" t="inlineStr">
        <is>
          <t>yes-rate x2</t>
        </is>
      </c>
      <c r="B26" s="7">
        <f>(COUNTIF('Improved (72)'!H2:H73,"yes")+COUNTIF('Hurt control (60)'!H2:H61,"yes"))/132</f>
        <v/>
      </c>
    </row>
    <row r="27">
      <c r="A27" s="2" t="inlineStr">
        <is>
          <t>pooled sign test p (gained 22 vs lost 8)</t>
        </is>
      </c>
      <c r="B27" s="8">
        <f>MIN(1,2*BINOMDIST(8,30,0.5,TRUE))</f>
        <v/>
      </c>
    </row>
    <row r="29">
      <c r="A29" s="5" t="inlineStr">
        <is>
          <t>Reading</t>
        </is>
      </c>
    </row>
    <row r="30" ht="130" customHeight="1">
      <c r="A30" s="4" t="inlineStr">
        <is>
          <t>Gemma BREAKS the Qwen/Mistral pattern: the hurt control does NOT mirror the improved group (improved +18/-2, p&lt;.001; hurt +4/-6, p=.75), and pooled uptake RISES under repetition (79.5% -&gt; 90.2%, gained 22 vs lost 8, sign p=.016). For this model the second insight copy produces a genuine, condition-driven increase in strategy adoption - not just correctness coupling. Consistent with Gemma's lower adoption ceiling at x1 (72% on improved items vs ~90-100% for Qwen/Mistral): Gemma is the one judged model with meaningful attention-rescue headroom, and repetition uses it. Note the contrast: Gemma has the LARGEST uptake gain but the SMALLEST accuracy gain (+1.2pp), so increased adoption does not translate 1:1 into correctness for a strong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2026-07-18T10:12:33Z</dcterms:created>
  <dcterms:modified xsi:type="dcterms:W3CDTF">2026-07-18T10:12:33Z</dcterms:modified>
</cp:coreProperties>
</file>