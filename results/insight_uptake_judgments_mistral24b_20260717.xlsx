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d (140)" sheetId="1" state="visible" r:id="rId1"/>
    <sheet name="Hurt control (117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9" customWidth="1" min="4" max="4"/>
    <col width="46" customWidth="1" min="5" max="5"/>
    <col width="14" customWidth="1" min="6" max="6"/>
    <col width="40" customWidth="1" min="7" max="7"/>
    <col width="16" customWidth="1" min="8" max="8"/>
    <col width="40" customWidth="1" min="9" max="9"/>
    <col width="16" customWidth="1" min="10" max="10"/>
  </cols>
  <sheetData>
    <row r="1">
      <c r="A1" s="1" t="inlineStr">
        <is>
          <t>item_index</t>
        </is>
      </c>
      <c r="B1" s="1" t="inlineStr">
        <is>
          <t>question_id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question (first 120 chars)</t>
        </is>
      </c>
      <c r="F1" s="1" t="inlineStr">
        <is>
          <t>verdict x1 {q,i}</t>
        </is>
      </c>
      <c r="G1" s="1" t="inlineStr">
        <is>
          <t>evidence x1</t>
        </is>
      </c>
      <c r="H1" s="1" t="inlineStr">
        <is>
          <t>verdict x2 {q,i|q,i}</t>
        </is>
      </c>
      <c r="I1" s="1" t="inlineStr">
        <is>
          <t>evidence x2</t>
        </is>
      </c>
      <c r="J1" s="1" t="inlineStr">
        <is>
          <t>transition</t>
        </is>
      </c>
    </row>
    <row r="2">
      <c r="A2" s="2" t="n">
        <v>1</v>
      </c>
      <c r="B2" s="2" t="inlineStr">
        <is>
          <t>q_80947</t>
        </is>
      </c>
      <c r="C2" s="2" t="inlineStr">
        <is>
          <t>Mathematics -&gt; Calculus -&gt; Integral Calculus -&gt; Techniques of Integration -&gt; Single-variable</t>
        </is>
      </c>
      <c r="D2" s="2" t="n">
        <v>4.5</v>
      </c>
      <c r="E2" s="2" t="inlineStr">
        <is>
          <t xml:space="preserve">Evaluate the limit of the Riemann sum as \( n \) approaches infinity for the interval \([0,1]\):  \[ \lim _{n\to \infty </t>
        </is>
      </c>
      <c r="F2" s="2" t="inlineStr">
        <is>
          <t>yes</t>
        </is>
      </c>
      <c r="G2" s="2" t="inlineStr">
        <is>
          <t>converted sum to Riemann integral with linearity split</t>
        </is>
      </c>
      <c r="H2" s="2" t="inlineStr">
        <is>
          <t>yes</t>
        </is>
      </c>
      <c r="I2" s="2" t="inlineStr">
        <is>
          <t>factored 1/n, split linearly, converted to two integrals</t>
        </is>
      </c>
      <c r="J2" s="2" t="inlineStr">
        <is>
          <t>yes-&gt;yes</t>
        </is>
      </c>
    </row>
    <row r="3">
      <c r="A3" s="2" t="n">
        <v>5</v>
      </c>
      <c r="B3" s="2" t="inlineStr">
        <is>
          <t>q_58458</t>
        </is>
      </c>
      <c r="C3" s="2" t="inlineStr">
        <is>
          <t>Mathematics -&gt; Calculus -&gt; Differential Calculus -&gt; Derivatives</t>
        </is>
      </c>
      <c r="D3" s="2" t="n">
        <v>5</v>
      </c>
      <c r="E3" s="2" t="inlineStr">
        <is>
          <t>If a function $g(x)$ satisfies $\int_{b}^{b+P}g(x)dx=\int_{c}^{c+P}g(x)dx$ for all $b, c \in \Bbb R$ and a fixed $P$, do</t>
        </is>
      </c>
      <c r="F3" s="2" t="inlineStr">
        <is>
          <t>yes</t>
        </is>
      </c>
      <c r="G3" s="2" t="inlineStr">
        <is>
          <t>Leibniz rule differentiation yielding g(b+P)=g(c+P) analysis</t>
        </is>
      </c>
      <c r="H3" s="2" t="inlineStr">
        <is>
          <t>yes</t>
        </is>
      </c>
      <c r="I3" s="2" t="inlineStr">
        <is>
          <t>Leibniz rule differentiation, universal equality implies constant, Yes</t>
        </is>
      </c>
      <c r="J3" s="2" t="inlineStr">
        <is>
          <t>yes-&gt;yes</t>
        </is>
      </c>
    </row>
    <row r="4">
      <c r="A4" s="2" t="n">
        <v>6</v>
      </c>
      <c r="B4" s="2" t="inlineStr">
        <is>
          <t>q_62813</t>
        </is>
      </c>
      <c r="C4" s="2" t="inlineStr">
        <is>
          <t>Mathematics -&gt; Calculus -&gt; Integral Calculus -&gt; Techniques of Integration -&gt; Multi-variable</t>
        </is>
      </c>
      <c r="D4" s="2" t="n">
        <v>5.5</v>
      </c>
      <c r="E4" s="2" t="inlineStr">
        <is>
          <t xml:space="preserve">Evaluate the double integral \( \iint\limits_{A} y \, dA \), where the region \( A \) is bounded by the parabola \( x^2 </t>
        </is>
      </c>
      <c r="F4" s="2" t="inlineStr">
        <is>
          <t>yes</t>
        </is>
      </c>
      <c r="G4" s="2" t="inlineStr">
        <is>
          <t>algebraic intersection via u=x^2, Cartesian Type I setup, inner y-integral</t>
        </is>
      </c>
      <c r="H4" s="2" t="inlineStr">
        <is>
          <t>yes</t>
        </is>
      </c>
      <c r="I4" s="2" t="inlineStr">
        <is>
          <t>substitution u=x^2 for intersections, Cartesian setup, inner y-integral</t>
        </is>
      </c>
      <c r="J4" s="2" t="inlineStr">
        <is>
          <t>yes-&gt;yes</t>
        </is>
      </c>
    </row>
    <row r="5">
      <c r="A5" s="2" t="n">
        <v>19</v>
      </c>
      <c r="B5" s="2" t="inlineStr">
        <is>
          <t>q_98943</t>
        </is>
      </c>
      <c r="C5" s="2" t="inlineStr">
        <is>
          <t>Mathematics -&gt; Geometry -&gt; Plane Geometry -&gt; Area</t>
        </is>
      </c>
      <c r="D5" s="2" t="n">
        <v>4</v>
      </c>
      <c r="E5" s="2" t="inlineStr">
        <is>
          <t>The figure shows two concentric circles. If the length of chord AB is 80 units and chord AB is tangent to the smaller ci</t>
        </is>
      </c>
      <c r="F5" s="2" t="inlineStr">
        <is>
          <t>yes</t>
        </is>
      </c>
      <c r="G5" s="2" t="inlineStr">
        <is>
          <t>perpendicular radius, Pythagorean relation, annulus difference of squares</t>
        </is>
      </c>
      <c r="H5" s="2" t="inlineStr">
        <is>
          <t>yes</t>
        </is>
      </c>
      <c r="I5" s="2" t="inlineStr">
        <is>
          <t>right triangle at tangency, R^2-r^2=1600, annulus area</t>
        </is>
      </c>
      <c r="J5" s="2" t="inlineStr">
        <is>
          <t>yes-&gt;yes</t>
        </is>
      </c>
    </row>
    <row r="6">
      <c r="A6" s="2" t="n">
        <v>27</v>
      </c>
      <c r="B6" s="2" t="inlineStr">
        <is>
          <t>q_65828</t>
        </is>
      </c>
      <c r="C6" s="2" t="inlineStr">
        <is>
          <t>Mathematics -&gt; Algebra -&gt; Abstract Algebra -&gt; Group Theory</t>
        </is>
      </c>
      <c r="D6" s="2" t="n">
        <v>7</v>
      </c>
      <c r="E6" s="2" t="inlineStr">
        <is>
          <t>Given a free abelian group $G$ of rank $k$, prove or disprove that if $S$ is a subset of $G$ that is linearly independen</t>
        </is>
      </c>
      <c r="F6" s="2" t="inlineStr">
        <is>
          <t>yes</t>
        </is>
      </c>
      <c r="G6" s="2" t="inlineStr">
        <is>
          <t>contradiction with k+1 elements plus rank bound, no embedding</t>
        </is>
      </c>
      <c r="H6" s="2" t="inlineStr">
        <is>
          <t>yes</t>
        </is>
      </c>
      <c r="I6" s="2" t="inlineStr">
        <is>
          <t>embedded in Q vector space, k+1 contradiction via dimension</t>
        </is>
      </c>
      <c r="J6" s="2" t="inlineStr">
        <is>
          <t>yes-&gt;yes</t>
        </is>
      </c>
    </row>
    <row r="7">
      <c r="A7" s="2" t="n">
        <v>40</v>
      </c>
      <c r="B7" s="2" t="inlineStr">
        <is>
          <t>q_101640</t>
        </is>
      </c>
      <c r="C7" s="2" t="inlineStr">
        <is>
          <t>Mathematics -&gt; Geometry -&gt; Plane Geometry -&gt; Angles</t>
        </is>
      </c>
      <c r="D7" s="2" t="n">
        <v>5</v>
      </c>
      <c r="E7" s="2" t="inlineStr">
        <is>
          <t>Circle $\Gamma$ is the incircle of $\triangle ABC$ and is also the circumcircle of $\triangle XYZ$.  The point $X$ is on</t>
        </is>
      </c>
      <c r="F7" s="2" t="inlineStr">
        <is>
          <t>yes</t>
        </is>
      </c>
      <c r="G7" s="2" t="inlineStr">
        <is>
          <t>equal tangents, isosceles at B, supplementary angle gives 120</t>
        </is>
      </c>
      <c r="H7" s="2" t="inlineStr">
        <is>
          <t>yes</t>
        </is>
      </c>
      <c r="I7" s="2" t="inlineStr">
        <is>
          <t>contact triangle, equal tangents isosceles, supplementary angle, 90+B/2 formula</t>
        </is>
      </c>
      <c r="J7" s="2" t="inlineStr">
        <is>
          <t>yes-&gt;yes</t>
        </is>
      </c>
    </row>
    <row r="8">
      <c r="A8" s="2" t="n">
        <v>42</v>
      </c>
      <c r="B8" s="2" t="inlineStr">
        <is>
          <t>q_37528</t>
        </is>
      </c>
      <c r="C8" s="2" t="inlineStr">
        <is>
          <t>Mathematics -&gt; Algebra -&gt; Linear Algebra -&gt; Linear Transformations</t>
        </is>
      </c>
      <c r="D8" s="2" t="n">
        <v>8.5</v>
      </c>
      <c r="E8" s="2" t="inlineStr">
        <is>
          <t>Let $X$ and $Y$ be Banach spaces. Consider a sequence of invertible operators $T_n \in B(X,Y)$ such that $T_n \xrightarr</t>
        </is>
      </c>
      <c r="F8" s="2" t="inlineStr">
        <is>
          <t>yes</t>
        </is>
      </c>
      <c r="G8" s="2" t="inlineStr">
        <is>
          <t>passes T_nT_n^{-1}=I to limit via composition continuity</t>
        </is>
      </c>
      <c r="H8" s="2" t="inlineStr">
        <is>
          <t>yes</t>
        </is>
      </c>
      <c r="I8" s="2" t="inlineStr">
        <is>
          <t>passed T_n T_n^{-1}=I to limit via composition continuity</t>
        </is>
      </c>
      <c r="J8" s="2" t="inlineStr">
        <is>
          <t>yes-&gt;yes</t>
        </is>
      </c>
    </row>
    <row r="9">
      <c r="A9" s="2" t="n">
        <v>62</v>
      </c>
      <c r="B9" s="2" t="inlineStr">
        <is>
          <t>q_6255</t>
        </is>
      </c>
      <c r="C9" s="2" t="inlineStr">
        <is>
          <t>Mathematics -&gt; Calculus -&gt; Integral Calculus -&gt; Techniques of Integration -&gt; Single-variable</t>
        </is>
      </c>
      <c r="D9" s="2" t="n">
        <v>8</v>
      </c>
      <c r="E9" s="2" t="inlineStr">
        <is>
          <t>Evaluate the contour integral \( \oint_{|z|=1} \sqrt{z} \, dz \) around the unit circle, where \( z = e^{2\pi it} \) for</t>
        </is>
      </c>
      <c r="F9" s="2" t="inlineStr">
        <is>
          <t>yes</t>
        </is>
      </c>
      <c r="G9" s="2" t="inlineStr">
        <is>
          <t>parameterizes θ∈[0,2π] tracking phase across branch cut</t>
        </is>
      </c>
      <c r="H9" s="2" t="inlineStr">
        <is>
          <t>yes</t>
        </is>
      </c>
      <c r="I9" s="2" t="inlineStr">
        <is>
          <t>antiderivative jump with phase factor across branch circuit</t>
        </is>
      </c>
      <c r="J9" s="2" t="inlineStr">
        <is>
          <t>yes-&gt;yes</t>
        </is>
      </c>
    </row>
    <row r="10">
      <c r="A10" s="2" t="n">
        <v>64</v>
      </c>
      <c r="B10" s="2" t="inlineStr">
        <is>
          <t>q_33198</t>
        </is>
      </c>
      <c r="C10" s="2" t="inlineStr">
        <is>
          <t>Mathematics -&gt; Differential Equations -&gt; Partial Differential Equations (PDEs)</t>
        </is>
      </c>
      <c r="D10" s="2" t="n">
        <v>6</v>
      </c>
      <c r="E10" s="2" t="inlineStr">
        <is>
          <t>Consider the heat diffusion problem described by the function: \[ u(x,t)= \frac {a_0}2 + \sum_{n=1}^{\infty} a_n \cos\le</t>
        </is>
      </c>
      <c r="F10" s="2" t="inlineStr">
        <is>
          <t>yes</t>
        </is>
      </c>
      <c r="G10" s="2" t="inlineStr">
        <is>
          <t>exponential decay terms vanish, steady-state a0/2 remains</t>
        </is>
      </c>
      <c r="H10" s="2" t="inlineStr">
        <is>
          <t>yes</t>
        </is>
      </c>
      <c r="I10" s="2" t="inlineStr">
        <is>
          <t>decaying exponential modes vanish leaving a0/2 steady state</t>
        </is>
      </c>
      <c r="J10" s="2" t="inlineStr">
        <is>
          <t>yes-&gt;yes</t>
        </is>
      </c>
    </row>
    <row r="11">
      <c r="A11" s="2" t="n">
        <v>69</v>
      </c>
      <c r="B11" s="2" t="inlineStr">
        <is>
          <t>q_46507</t>
        </is>
      </c>
      <c r="C11" s="2" t="inlineStr">
        <is>
          <t>Mathematics -&gt; Algebra -&gt; Abstract Algebra -&gt; Ring Theory</t>
        </is>
      </c>
      <c r="D11" s="2" t="n">
        <v>8.5</v>
      </c>
      <c r="E11" s="2" t="inlineStr">
        <is>
          <t xml:space="preserve">Let $A$ be a commutative ring with unit and $M$ a module over $A$. Suppose the rank of $M_{P}$ over $A_{P}$ is constant </t>
        </is>
      </c>
      <c r="F11" s="2" t="inlineStr">
        <is>
          <t>yes</t>
        </is>
      </c>
      <c r="G11" s="2" t="inlineStr">
        <is>
          <t>fiber-dimension rank definition, torsion-module counterexample construction</t>
        </is>
      </c>
      <c r="H11" s="2" t="inlineStr">
        <is>
          <t>yes</t>
        </is>
      </c>
      <c r="I11" s="2" t="inlineStr">
        <is>
          <t>recognized tautology, pointwise rank definition, torsion counterexample discussion</t>
        </is>
      </c>
      <c r="J11" s="2" t="inlineStr">
        <is>
          <t>yes-&gt;yes</t>
        </is>
      </c>
    </row>
    <row r="12">
      <c r="A12" s="2" t="n">
        <v>70</v>
      </c>
      <c r="B12" s="2" t="inlineStr">
        <is>
          <t>q_35551</t>
        </is>
      </c>
      <c r="C12" s="2" t="inlineStr">
        <is>
          <t>Mathematics -&gt; Calculus -&gt; Differential Calculus -&gt; Applications of Derivatives</t>
        </is>
      </c>
      <c r="D12" s="2" t="n">
        <v>5.5</v>
      </c>
      <c r="E12" s="2" t="inlineStr">
        <is>
          <t>Determine the radius of convergence of the power series \( \sum_{n=1}^\infty \frac{(2n)!}{(n!)^2}z^n \).</t>
        </is>
      </c>
      <c r="F12" s="2" t="inlineStr">
        <is>
          <t>yes</t>
        </is>
      </c>
      <c r="G12" s="2" t="inlineStr">
        <is>
          <t>applies Ratio Test, simplifies factorials, leading-term limit gives 1/4</t>
        </is>
      </c>
      <c r="H12" s="2" t="inlineStr">
        <is>
          <t>yes</t>
        </is>
      </c>
      <c r="I12" s="2" t="inlineStr">
        <is>
          <t>ratio test with factorial simplification and leading-term limit</t>
        </is>
      </c>
      <c r="J12" s="2" t="inlineStr">
        <is>
          <t>yes-&gt;yes</t>
        </is>
      </c>
    </row>
    <row r="13">
      <c r="A13" s="2" t="n">
        <v>73</v>
      </c>
      <c r="B13" s="2" t="inlineStr">
        <is>
          <t>q_89561</t>
        </is>
      </c>
      <c r="C13" s="2" t="inlineStr">
        <is>
          <t>Mathematics -&gt; Discrete Mathematics -&gt; Combinatorics</t>
        </is>
      </c>
      <c r="D13" s="2" t="n">
        <v>6.5</v>
      </c>
      <c r="E13" s="2" t="inlineStr">
        <is>
          <t>In a language with only three letters - $A, B$, and $C$, a word is defined as a sequence of exactly 100 letters, with ex</t>
        </is>
      </c>
      <c r="F13" s="2" t="inlineStr">
        <is>
          <t>unclear</t>
        </is>
      </c>
      <c r="G13" s="2" t="inlineStr">
        <is>
          <t>mentions 2^40 labelings but hand-waves to unjustified 2^39</t>
        </is>
      </c>
      <c r="H13" s="2" t="inlineStr">
        <is>
          <t>yes</t>
        </is>
      </c>
      <c r="I13" s="2" t="inlineStr">
        <is>
          <t>fixed support strategy, distinct labelings giving 2^40</t>
        </is>
      </c>
      <c r="J13" s="2" t="inlineStr">
        <is>
          <t>unclear-&gt;yes</t>
        </is>
      </c>
    </row>
    <row r="14">
      <c r="A14" s="2" t="n">
        <v>74</v>
      </c>
      <c r="B14" s="2" t="inlineStr">
        <is>
          <t>q_74069</t>
        </is>
      </c>
      <c r="C14" s="2" t="inlineStr">
        <is>
          <t>Mathematics -&gt; Discrete Mathematics -&gt; Combinatorics</t>
        </is>
      </c>
      <c r="D14" s="2" t="n">
        <v>6</v>
      </c>
      <c r="E14" s="2" t="inlineStr">
        <is>
          <t>Simplify the expression \( \sum_{k=0}^n\binom{n}{k}(-1)^k\left(\sum_{j=0}^k\binom{k}{j}3^j\right) \).</t>
        </is>
      </c>
      <c r="F14" s="2" t="inlineStr">
        <is>
          <t>yes</t>
        </is>
      </c>
      <c r="G14" s="2" t="inlineStr">
        <is>
          <t>simplified inner sum first, applied binomial theorem to outer sum</t>
        </is>
      </c>
      <c r="H14" s="2" t="inlineStr">
        <is>
          <t>yes</t>
        </is>
      </c>
      <c r="I14" s="2" t="inlineStr">
        <is>
          <t>inner sum to 4^k, outer as (1-4)^n binomial</t>
        </is>
      </c>
      <c r="J14" s="2" t="inlineStr">
        <is>
          <t>yes-&gt;yes</t>
        </is>
      </c>
    </row>
    <row r="15">
      <c r="A15" s="2" t="n">
        <v>80</v>
      </c>
      <c r="B15" s="2" t="inlineStr">
        <is>
          <t>q_57032</t>
        </is>
      </c>
      <c r="C15" s="2" t="inlineStr">
        <is>
          <t>Mathematics -&gt; Algebra -&gt; Linear Algebra -&gt; Matrices</t>
        </is>
      </c>
      <c r="D15" s="2" t="n">
        <v>8</v>
      </c>
      <c r="E15" s="2" t="inlineStr">
        <is>
          <t>Let $A$ and $B$ be two orthogonal matrices over a field $F$ of characteristic $2$. If $\det(A) + \det(B) = 0$, is the ma</t>
        </is>
      </c>
      <c r="F15" s="2" t="inlineStr">
        <is>
          <t>yes</t>
        </is>
      </c>
      <c r="G15" s="2" t="inlineStr">
        <is>
          <t>char-2 fixed-point eigenvalue 1, (A+B)v=v+v=0</t>
        </is>
      </c>
      <c r="H15" s="2" t="inlineStr">
        <is>
          <t>yes</t>
        </is>
      </c>
      <c r="I15" s="2" t="inlineStr">
        <is>
          <t>char-2 fixed-point eigenvalue 1, (A+B)v=v+v=0 argument</t>
        </is>
      </c>
      <c r="J15" s="2" t="inlineStr">
        <is>
          <t>yes-&gt;yes</t>
        </is>
      </c>
    </row>
    <row r="16">
      <c r="A16" s="2" t="n">
        <v>87</v>
      </c>
      <c r="B16" s="2" t="inlineStr">
        <is>
          <t>q_7040</t>
        </is>
      </c>
      <c r="C16" s="2" t="inlineStr">
        <is>
          <t>Mathematics -&gt; Calculus -&gt; Integral Calculus -&gt; Techniques of Integration -&gt; Single-variable</t>
        </is>
      </c>
      <c r="D16" s="2" t="n">
        <v>8</v>
      </c>
      <c r="E16" s="2" t="inlineStr">
        <is>
          <t>Evaluate the limit: \[ \lim_{x\to0}(x\Gamma(x))^\frac{1}{x} \]</t>
        </is>
      </c>
      <c r="F16" s="2" t="inlineStr">
        <is>
          <t>yes</t>
        </is>
      </c>
      <c r="G16" s="2" t="inlineStr">
        <is>
          <t>Laurent expansion of Gamma, log-limit transform, yields e^-gamma</t>
        </is>
      </c>
      <c r="H16" s="2" t="inlineStr">
        <is>
          <t>yes</t>
        </is>
      </c>
      <c r="I16" s="2" t="inlineStr">
        <is>
          <t>exp-log transform, Laurent expansion of Gamma, ln(1+u)~u, gets e^-gamma</t>
        </is>
      </c>
      <c r="J16" s="2" t="inlineStr">
        <is>
          <t>yes-&gt;yes</t>
        </is>
      </c>
    </row>
    <row r="17">
      <c r="A17" s="2" t="n">
        <v>102</v>
      </c>
      <c r="B17" s="2" t="inlineStr">
        <is>
          <t>q_64488</t>
        </is>
      </c>
      <c r="C17" s="2" t="inlineStr">
        <is>
          <t>Mathematics -&gt; Calculus -&gt; Integral Calculus -&gt; Applications of Integrals</t>
        </is>
      </c>
      <c r="D17" s="2" t="n">
        <v>8</v>
      </c>
      <c r="E17" s="2" t="inlineStr">
        <is>
          <t>Determine whether there exists a function $g$ that is continuous everywhere but integrable only on bounded intervals.</t>
        </is>
      </c>
      <c r="F17" s="2" t="inlineStr">
        <is>
          <t>yes</t>
        </is>
      </c>
      <c r="G17" s="2" t="inlineStr">
        <is>
          <t>constant function g=1 as simplest-case existence proof</t>
        </is>
      </c>
      <c r="H17" s="2" t="inlineStr">
        <is>
          <t>yes</t>
        </is>
      </c>
      <c r="I17" s="2" t="inlineStr">
        <is>
          <t>constant function example, bounded integrable, divergent improper integral</t>
        </is>
      </c>
      <c r="J17" s="2" t="inlineStr">
        <is>
          <t>yes-&gt;yes</t>
        </is>
      </c>
    </row>
    <row r="18">
      <c r="A18" s="2" t="n">
        <v>116</v>
      </c>
      <c r="B18" s="2" t="inlineStr">
        <is>
          <t>q_15434</t>
        </is>
      </c>
      <c r="C18" s="2" t="inlineStr">
        <is>
          <t>Mathematics -&gt; Number Theory -&gt; Factorization</t>
        </is>
      </c>
      <c r="D18" s="2" t="n">
        <v>7.5</v>
      </c>
      <c r="E18" s="2" t="inlineStr">
        <is>
          <t xml:space="preserve">Find the smallest possible value of \( n \) such that there are exactly 77,000 ordered quadruples \((a, b, c, d)\) with </t>
        </is>
      </c>
      <c r="F18" s="2" t="inlineStr">
        <is>
          <t>yes</t>
        </is>
      </c>
      <c r="G18" s="2" t="inlineStr">
        <is>
          <t>divides by GCD, inclusion-exclusion f(e), greedy prime assignment</t>
        </is>
      </c>
      <c r="H18" s="2" t="inlineStr">
        <is>
          <t>yes</t>
        </is>
      </c>
      <c r="I18" s="2" t="inlineStr">
        <is>
          <t>divided by 77, f(e) inclusion-exclusion, factor matching, greedy primes</t>
        </is>
      </c>
      <c r="J18" s="2" t="inlineStr">
        <is>
          <t>yes-&gt;yes</t>
        </is>
      </c>
    </row>
    <row r="19">
      <c r="A19" s="2" t="n">
        <v>127</v>
      </c>
      <c r="B19" s="2" t="inlineStr">
        <is>
          <t>q_22942</t>
        </is>
      </c>
      <c r="C19" s="2" t="inlineStr">
        <is>
          <t>Mathematics -&gt; Calculus -&gt; Integral Calculus -&gt; Techniques of Integration -&gt; Single-variable</t>
        </is>
      </c>
      <c r="D19" s="2" t="n">
        <v>6</v>
      </c>
      <c r="E19" s="2" t="inlineStr">
        <is>
          <t>Determine if the series \( X_{k+1} = 1 + x + x^{2} + \cdots + x^{2^{k+2}-3} \) can be expressed as \( (1 - x)^{-1} \) as</t>
        </is>
      </c>
      <c r="F19" s="2" t="inlineStr">
        <is>
          <t>yes</t>
        </is>
      </c>
      <c r="G19" s="2" t="inlineStr">
        <is>
          <t>closed geometric form, remainder x^f(k) vanishes since |x|&lt;1</t>
        </is>
      </c>
      <c r="H19" s="2" t="inlineStr">
        <is>
          <t>yes</t>
        </is>
      </c>
      <c r="I19" s="2" t="inlineStr">
        <is>
          <t>finite geometric closed form, remainder x^f(k) vanishes</t>
        </is>
      </c>
      <c r="J19" s="2" t="inlineStr">
        <is>
          <t>yes-&gt;yes</t>
        </is>
      </c>
    </row>
    <row r="20">
      <c r="A20" s="2" t="n">
        <v>128</v>
      </c>
      <c r="B20" s="2" t="inlineStr">
        <is>
          <t>q_21503</t>
        </is>
      </c>
      <c r="C20" s="2" t="inlineStr">
        <is>
          <t>Mathematics -&gt; Algebra -&gt; Abstract Algebra -&gt; Group Theory</t>
        </is>
      </c>
      <c r="D20" s="2" t="n">
        <v>8</v>
      </c>
      <c r="E20" s="2" t="inlineStr">
        <is>
          <t>Let $G$ be a group and $N$ be a minimal normal subgroup of $G$. Let $G_p \in \text{Syl}_p(G)$, where $p$ is an odd prime</t>
        </is>
      </c>
      <c r="F20" s="2" t="inlineStr">
        <is>
          <t>yes</t>
        </is>
      </c>
      <c r="G20" s="2" t="inlineStr">
        <is>
          <t>second isomorphism, correspondence, P=M∩Gp, case analysis on Gp∩N</t>
        </is>
      </c>
      <c r="H20" s="2" t="inlineStr">
        <is>
          <t>yes</t>
        </is>
      </c>
      <c r="I20" s="2" t="inlineStr">
        <is>
          <t>isomorphism theorems, P=M∩Gp, maximality via quotient isomorphism</t>
        </is>
      </c>
      <c r="J20" s="2" t="inlineStr">
        <is>
          <t>yes-&gt;yes</t>
        </is>
      </c>
    </row>
    <row r="21">
      <c r="A21" s="2" t="n">
        <v>130</v>
      </c>
      <c r="B21" s="2" t="inlineStr">
        <is>
          <t>q_44453</t>
        </is>
      </c>
      <c r="C21" s="2" t="inlineStr">
        <is>
          <t>Mathematics -&gt; Calculus -&gt; Integral Calculus -&gt; Techniques of Integration -&gt; Single-variable</t>
        </is>
      </c>
      <c r="D21" s="2" t="n">
        <v>7</v>
      </c>
      <c r="E21" s="2" t="inlineStr">
        <is>
          <t>Evaluate the Riemann-Stieltjes integral: \[ \int_{0}^{2}x^2d\left\lfloor 2x\right\rfloor \]</t>
        </is>
      </c>
      <c r="F21" s="2" t="inlineStr">
        <is>
          <t>yes</t>
        </is>
      </c>
      <c r="G21" s="2" t="inlineStr">
        <is>
          <t>converted to discrete sum over jump points with jump magnitudes</t>
        </is>
      </c>
      <c r="H21" s="2" t="inlineStr">
        <is>
          <t>yes</t>
        </is>
      </c>
      <c r="I21" s="2" t="inlineStr">
        <is>
          <t>converted integral to sum of f(c_i) at jump points</t>
        </is>
      </c>
      <c r="J21" s="2" t="inlineStr">
        <is>
          <t>yes-&gt;yes</t>
        </is>
      </c>
    </row>
    <row r="22">
      <c r="A22" s="2" t="n">
        <v>133</v>
      </c>
      <c r="B22" s="2" t="inlineStr">
        <is>
          <t>q_92323</t>
        </is>
      </c>
      <c r="C22" s="2" t="inlineStr">
        <is>
          <t>Mathematics -&gt; Algebra -&gt; Algebra -&gt; Algebraic Expressions</t>
        </is>
      </c>
      <c r="D22" s="2" t="n">
        <v>5</v>
      </c>
      <c r="E22" s="2" t="inlineStr">
        <is>
          <t>A linear function \( f(x) \) is given. The distance between the points of intersection of the graphs \( y = x^{2} \) and</t>
        </is>
      </c>
      <c r="F22" s="2" t="inlineStr">
        <is>
          <t>unclear</t>
        </is>
      </c>
      <c r="G22" s="2" t="inlineStr">
        <is>
          <t>applied distance decomposition but inferred final value without solving system</t>
        </is>
      </c>
      <c r="H22" s="2" t="inlineStr">
        <is>
          <t>yes</t>
        </is>
      </c>
      <c r="I22" s="2" t="inlineStr">
        <is>
          <t>squared distance decomposition, Vieta, block substitution A,B</t>
        </is>
      </c>
      <c r="J22" s="2" t="inlineStr">
        <is>
          <t>unclear-&gt;yes</t>
        </is>
      </c>
    </row>
    <row r="23">
      <c r="A23" s="2" t="n">
        <v>134</v>
      </c>
      <c r="B23" s="2" t="inlineStr">
        <is>
          <t>q_85318</t>
        </is>
      </c>
      <c r="C23" s="2" t="inlineStr">
        <is>
          <t>Mathematics -&gt; Number Theory -&gt; Prime Numbers</t>
        </is>
      </c>
      <c r="D23" s="2" t="n">
        <v>5.5</v>
      </c>
      <c r="E23" s="2" t="inlineStr">
        <is>
          <t>Given a natural number \( x = 9^n - 1 \), where \( n \) is an odd natural number, and it is known that \( x \) has exact</t>
        </is>
      </c>
      <c r="F23" s="2" t="inlineStr">
        <is>
          <t>yes</t>
        </is>
      </c>
      <c r="G23" s="2" t="inlineStr">
        <is>
          <t>mod-61 order attempt, base factor isolation, small odd-n trials</t>
        </is>
      </c>
      <c r="H23" s="2" t="inlineStr">
        <is>
          <t>yes</t>
        </is>
      </c>
      <c r="I23" s="2" t="inlineStr">
        <is>
          <t>computes order of 3 mod 61, odd multiples, factors 3^10-1</t>
        </is>
      </c>
      <c r="J23" s="2" t="inlineStr">
        <is>
          <t>yes-&gt;yes</t>
        </is>
      </c>
    </row>
    <row r="24">
      <c r="A24" s="2" t="n">
        <v>139</v>
      </c>
      <c r="B24" s="2" t="inlineStr">
        <is>
          <t>q_81695</t>
        </is>
      </c>
      <c r="C24" s="2" t="inlineStr">
        <is>
          <t>Mathematics -&gt; Geometry -&gt; Differential Geometry -&gt; Manifolds</t>
        </is>
      </c>
      <c r="D24" s="2" t="n">
        <v>8.5</v>
      </c>
      <c r="E24" s="2" t="inlineStr">
        <is>
          <t>Let $M$ be a compact, connected, oriented smooth Riemannian manifold with non-empty boundary. Let $f:M \to M$ be a smoot</t>
        </is>
      </c>
      <c r="F24" s="2" t="inlineStr">
        <is>
          <t>yes</t>
        </is>
      </c>
      <c r="G24" s="2" t="inlineStr">
        <is>
          <t>local isometry via exponential map, injectivity radius, boundary check</t>
        </is>
      </c>
      <c r="H24" s="2" t="inlineStr">
        <is>
          <t>yes</t>
        </is>
      </c>
      <c r="I24" s="2" t="inlineStr">
        <is>
          <t>local isometry, exponential map, injectivity radius bound</t>
        </is>
      </c>
      <c r="J24" s="2" t="inlineStr">
        <is>
          <t>yes-&gt;yes</t>
        </is>
      </c>
    </row>
    <row r="25">
      <c r="A25" s="2" t="n">
        <v>148</v>
      </c>
      <c r="B25" s="2" t="inlineStr">
        <is>
          <t>q_72223</t>
        </is>
      </c>
      <c r="C25" s="2" t="inlineStr">
        <is>
          <t>Mathematics -&gt; Algebra -&gt; Abstract Algebra -&gt; Group Theory</t>
        </is>
      </c>
      <c r="D25" s="2" t="n">
        <v>7.5</v>
      </c>
      <c r="E25" s="2" t="inlineStr">
        <is>
          <t>Given a group $G$ with the following properties: 1. $G' = Z(G)$, where $Z(G)$ is the center of $G$. 2. $|Z(G)| = p$, whe</t>
        </is>
      </c>
      <c r="F25" s="2" t="inlineStr">
        <is>
          <t>yes</t>
        </is>
      </c>
      <c r="G25" s="2" t="inlineStr">
        <is>
          <t>sum of squares identity, |G/G'| linear characters, p-dimensions</t>
        </is>
      </c>
      <c r="H25" s="2" t="inlineStr">
        <is>
          <t>yes</t>
        </is>
      </c>
      <c r="I25" s="2" t="inlineStr">
        <is>
          <t>sum of squares with p^2 linear characters, dimension-p reps</t>
        </is>
      </c>
      <c r="J25" s="2" t="inlineStr">
        <is>
          <t>yes-&gt;yes</t>
        </is>
      </c>
    </row>
    <row r="26">
      <c r="A26" s="2" t="n">
        <v>149</v>
      </c>
      <c r="B26" s="2" t="inlineStr">
        <is>
          <t>q_6134</t>
        </is>
      </c>
      <c r="C26" s="2" t="inlineStr">
        <is>
          <t>Mathematics -&gt; Discrete Mathematics -&gt; Combinatorics</t>
        </is>
      </c>
      <c r="D26" s="2" t="n">
        <v>8.5</v>
      </c>
      <c r="E26" s="2" t="inlineStr">
        <is>
          <t>Determine whether the zero vector is contained in the convex hull of the set \( \{(\underbrace{\alpha_1, \cdots, \alpha_</t>
        </is>
      </c>
      <c r="F26" s="2" t="inlineStr">
        <is>
          <t>yes</t>
        </is>
      </c>
      <c r="G26" s="2" t="inlineStr">
        <is>
          <t>central symmetry from homogeneous equation, midpoint of v and -v</t>
        </is>
      </c>
      <c r="H26" s="2" t="inlineStr">
        <is>
          <t>yes</t>
        </is>
      </c>
      <c r="I26" s="2" t="inlineStr">
        <is>
          <t>homogeneous constraint gives negation closure, central symmetry, origin included</t>
        </is>
      </c>
      <c r="J26" s="2" t="inlineStr">
        <is>
          <t>yes-&gt;yes</t>
        </is>
      </c>
    </row>
    <row r="27">
      <c r="A27" s="2" t="n">
        <v>153</v>
      </c>
      <c r="B27" s="2" t="inlineStr">
        <is>
          <t>q_14631</t>
        </is>
      </c>
      <c r="C27" s="2" t="inlineStr">
        <is>
          <t>Mathematics -&gt; Algebra -&gt; Linear Algebra -&gt; Matrices</t>
        </is>
      </c>
      <c r="D27" s="2" t="n">
        <v>4</v>
      </c>
      <c r="E27" s="2" t="inlineStr">
        <is>
          <t xml:space="preserve">Let \( \Pi_1, \Pi_2, \) and \( \Pi_3 \) be the planes with Cartesian equations \( x + 2y + 3z = 5 \), \( x - y + 2z = 7 </t>
        </is>
      </c>
      <c r="F27" s="2" t="inlineStr">
        <is>
          <t>yes</t>
        </is>
      </c>
      <c r="G27" s="2" t="inlineStr">
        <is>
          <t>set coefficient determinant to zero, solved k=6</t>
        </is>
      </c>
      <c r="H27" s="2" t="inlineStr">
        <is>
          <t>yes</t>
        </is>
      </c>
      <c r="I27" s="2" t="inlineStr">
        <is>
          <t>sets coefficient determinant to zero, solves for k</t>
        </is>
      </c>
      <c r="J27" s="2" t="inlineStr">
        <is>
          <t>yes-&gt;yes</t>
        </is>
      </c>
    </row>
    <row r="28">
      <c r="A28" s="2" t="n">
        <v>155</v>
      </c>
      <c r="B28" s="2" t="inlineStr">
        <is>
          <t>q_26881</t>
        </is>
      </c>
      <c r="C28" s="2" t="inlineStr">
        <is>
          <t>Mathematics -&gt; Calculus -&gt; Differential Calculus -&gt; Applications of Derivatives</t>
        </is>
      </c>
      <c r="D28" s="2" t="n">
        <v>9</v>
      </c>
      <c r="E28" s="2" t="inlineStr">
        <is>
          <t>Consider an antisymmetric 3-tensor $A$ over a sequence space, where $A_{ijk} = -A_{jik} = -A_{ikj} \in \mathbb{R}$ for $</t>
        </is>
      </c>
      <c r="F28" s="2" t="inlineStr">
        <is>
          <t>yes</t>
        </is>
      </c>
      <c r="G28" s="2" t="inlineStr">
        <is>
          <t>Cauchy-Schwarz decoupling of indices to bound by norm^4</t>
        </is>
      </c>
      <c r="H28" s="2" t="inlineStr">
        <is>
          <t>yes</t>
        </is>
      </c>
      <c r="I28" s="2" t="inlineStr">
        <is>
          <t>Cauchy-Schwarz decoupling with antisymmetry to bound by norm⁴</t>
        </is>
      </c>
      <c r="J28" s="2" t="inlineStr">
        <is>
          <t>yes-&gt;yes</t>
        </is>
      </c>
    </row>
    <row r="29">
      <c r="A29" s="2" t="n">
        <v>168</v>
      </c>
      <c r="B29" s="2" t="inlineStr">
        <is>
          <t>q_60435</t>
        </is>
      </c>
      <c r="C29" s="2" t="inlineStr">
        <is>
          <t>Mathematics -&gt; Applied Mathematics -&gt; Statistics -&gt; Probability -&gt; Other</t>
        </is>
      </c>
      <c r="D29" s="2" t="n">
        <v>5.5</v>
      </c>
      <c r="E29" s="2" t="inlineStr">
        <is>
          <t>Calculate the expected value of the sixth power of a standard normal random variable \( Y \), using the Law of the Uncon</t>
        </is>
      </c>
      <c r="F29" s="2" t="inlineStr">
        <is>
          <t>yes</t>
        </is>
      </c>
      <c r="G29" s="2" t="inlineStr">
        <is>
          <t>symmetry doubling, u=x^2/2 substitution to Gamma function</t>
        </is>
      </c>
      <c r="H29" s="2" t="inlineStr">
        <is>
          <t>yes</t>
        </is>
      </c>
      <c r="I29" s="2" t="inlineStr">
        <is>
          <t>symmetry halving then substitution to Gamma function</t>
        </is>
      </c>
      <c r="J29" s="2" t="inlineStr">
        <is>
          <t>yes-&gt;yes</t>
        </is>
      </c>
    </row>
    <row r="30">
      <c r="A30" s="2" t="n">
        <v>172</v>
      </c>
      <c r="B30" s="2" t="inlineStr">
        <is>
          <t>q_63408</t>
        </is>
      </c>
      <c r="C30" s="2" t="inlineStr">
        <is>
          <t>Mathematics -&gt; Applied Mathematics -&gt; Statistics -&gt; Probability -&gt; Other</t>
        </is>
      </c>
      <c r="D30" s="2" t="n">
        <v>7.5</v>
      </c>
      <c r="E30" s="2" t="inlineStr">
        <is>
          <t>Evaluate the variance \( \text{Var}\left\{ (W(t)-W(s))^4 \right\} \) given that \( \mathbb{E}[(W(t)-W(s))^2] = t-s \) an</t>
        </is>
      </c>
      <c r="F30" s="2" t="inlineStr">
        <is>
          <t>unclear</t>
        </is>
      </c>
      <c r="G30" s="2" t="inlineStr">
        <is>
          <t>states variance identity then abandons it, computes wrong moments</t>
        </is>
      </c>
      <c r="H30" s="2" t="inlineStr">
        <is>
          <t>yes</t>
        </is>
      </c>
      <c r="I30" s="2" t="inlineStr">
        <is>
          <t>full variance identity with Gaussian eighth moment 105sigma^8</t>
        </is>
      </c>
      <c r="J30" s="2" t="inlineStr">
        <is>
          <t>unclear-&gt;yes</t>
        </is>
      </c>
    </row>
    <row r="31">
      <c r="A31" s="2" t="n">
        <v>174</v>
      </c>
      <c r="B31" s="2" t="inlineStr">
        <is>
          <t>q_6485</t>
        </is>
      </c>
      <c r="C31" s="2" t="inlineStr">
        <is>
          <t>Mathematics -&gt; Calculus -&gt; Differential Calculus -&gt; Derivatives</t>
        </is>
      </c>
      <c r="D31" s="2" t="n">
        <v>6</v>
      </c>
      <c r="E31" s="2" t="inlineStr">
        <is>
          <t>Given the system of equations: \[\begin{cases} x^2 + xy - y^2 = u \\ 2xy + y^2 = v \end{cases}\] find the value of \( \l</t>
        </is>
      </c>
      <c r="F31" s="2" t="inlineStr">
        <is>
          <t>yes</t>
        </is>
      </c>
      <c r="G31" s="2" t="inlineStr">
        <is>
          <t>built Jacobian, evaluated numerically, inverted, took top-left element</t>
        </is>
      </c>
      <c r="H31" s="2" t="inlineStr">
        <is>
          <t>yes</t>
        </is>
      </c>
      <c r="I31" s="2" t="inlineStr">
        <is>
          <t>numeric Jacobian at point, inverse element via dv/dy over det</t>
        </is>
      </c>
      <c r="J31" s="2" t="inlineStr">
        <is>
          <t>yes-&gt;yes</t>
        </is>
      </c>
    </row>
    <row r="32">
      <c r="A32" s="2" t="n">
        <v>180</v>
      </c>
      <c r="B32" s="2" t="inlineStr">
        <is>
          <t>q_50884</t>
        </is>
      </c>
      <c r="C32" s="2" t="inlineStr">
        <is>
          <t>Mathematics -&gt; Algebra -&gt; Intermediate Algebra -&gt; Other</t>
        </is>
      </c>
      <c r="D32" s="2" t="n">
        <v>4</v>
      </c>
      <c r="E32" s="2" t="inlineStr">
        <is>
          <t xml:space="preserve">Find the smallest natural number \( n \) such that its decimal representation ends in 6, and when the 6 is moved to the </t>
        </is>
      </c>
      <c r="F32" s="2" t="inlineStr">
        <is>
          <t>yes</t>
        </is>
      </c>
      <c r="G32" s="2" t="inlineStr">
        <is>
          <t>n=10a+6 representation, modular search for smallest k</t>
        </is>
      </c>
      <c r="H32" s="2" t="inlineStr">
        <is>
          <t>yes</t>
        </is>
      </c>
      <c r="I32" s="2" t="inlineStr">
        <is>
          <t>n=10a+6 algebra, modular search for smallest k</t>
        </is>
      </c>
      <c r="J32" s="2" t="inlineStr">
        <is>
          <t>yes-&gt;yes</t>
        </is>
      </c>
    </row>
    <row r="33">
      <c r="A33" s="2" t="n">
        <v>187</v>
      </c>
      <c r="B33" s="2" t="inlineStr">
        <is>
          <t>q_604</t>
        </is>
      </c>
      <c r="C33" s="2" t="inlineStr">
        <is>
          <t>Mathematics -&gt; Discrete Mathematics -&gt; Logic</t>
        </is>
      </c>
      <c r="D33" s="2" t="n">
        <v>8</v>
      </c>
      <c r="E33" s="2" t="inlineStr">
        <is>
          <t>In a compact metrizable topological space $X$, if the Boolean algebra of clopen sets is finite, does it imply that the B</t>
        </is>
      </c>
      <c r="F33" s="2" t="inlineStr">
        <is>
          <t>yes</t>
        </is>
      </c>
      <c r="G33" s="2" t="inlineStr">
        <is>
          <t>finite algebra atoms, components as clopen intersections, finiteness argument</t>
        </is>
      </c>
      <c r="H33" s="2" t="inlineStr">
        <is>
          <t>yes</t>
        </is>
      </c>
      <c r="I33" s="2" t="inlineStr">
        <is>
          <t>atoms of finite algebra, component-as-intersection, 2^n bound</t>
        </is>
      </c>
      <c r="J33" s="2" t="inlineStr">
        <is>
          <t>yes-&gt;yes</t>
        </is>
      </c>
    </row>
    <row r="34">
      <c r="A34" s="2" t="n">
        <v>195</v>
      </c>
      <c r="B34" s="2" t="inlineStr">
        <is>
          <t>q_30328</t>
        </is>
      </c>
      <c r="C34" s="2" t="inlineStr">
        <is>
          <t>Mathematics -&gt; Applied Mathematics -&gt; Statistics -&gt; Probability -&gt; Other</t>
        </is>
      </c>
      <c r="D34" s="2" t="n">
        <v>7</v>
      </c>
      <c r="E34" s="2" t="inlineStr">
        <is>
          <t>Let $W(t)$ be a Wiener process. Define $X(t) = W^2(t)$ for $t \geq 0$. Calculate the covariance $\operatorname{Cov}(X(s)</t>
        </is>
      </c>
      <c r="F34" s="2" t="inlineStr">
        <is>
          <t>yes</t>
        </is>
      </c>
      <c r="G34" s="2" t="inlineStr">
        <is>
          <t>increment decomposition, Gaussian moments, ordering then min(s,t) generalization</t>
        </is>
      </c>
      <c r="H34" s="2" t="inlineStr">
        <is>
          <t>yes</t>
        </is>
      </c>
      <c r="I34" s="2" t="inlineStr">
        <is>
          <t>orders s&lt;=t, decomposes increment, expands product, generalizes with min(s,t)</t>
        </is>
      </c>
      <c r="J34" s="2" t="inlineStr">
        <is>
          <t>yes-&gt;yes</t>
        </is>
      </c>
    </row>
    <row r="35">
      <c r="A35" s="2" t="n">
        <v>197</v>
      </c>
      <c r="B35" s="2" t="inlineStr">
        <is>
          <t>q_35605</t>
        </is>
      </c>
      <c r="C35" s="2" t="inlineStr">
        <is>
          <t>Mathematics -&gt; Precalculus -&gt; Limits</t>
        </is>
      </c>
      <c r="D35" s="2" t="n">
        <v>5</v>
      </c>
      <c r="E35" s="2" t="inlineStr">
        <is>
          <t>Find the limit of the sequence $y_n$ defined recursively by $y_n = 2x_{n+1} + x_n$, where $x_n = \frac{x_{n-1} + x_{n-2}</t>
        </is>
      </c>
      <c r="F35" s="2" t="inlineStr">
        <is>
          <t>yes</t>
        </is>
      </c>
      <c r="G35" s="2" t="inlineStr">
        <is>
          <t>characteristic equation, steady-state root coefficient, limit</t>
        </is>
      </c>
      <c r="H35" s="2" t="inlineStr">
        <is>
          <t>yes</t>
        </is>
      </c>
      <c r="I35" s="2" t="inlineStr">
        <is>
          <t>uses card's (a+2b)/3 weighted-average limit pattern</t>
        </is>
      </c>
      <c r="J35" s="2" t="inlineStr">
        <is>
          <t>yes-&gt;yes</t>
        </is>
      </c>
    </row>
    <row r="36">
      <c r="A36" s="2" t="n">
        <v>205</v>
      </c>
      <c r="B36" s="2" t="inlineStr">
        <is>
          <t>q_99950</t>
        </is>
      </c>
      <c r="C36" s="2" t="inlineStr">
        <is>
          <t>Mathematics -&gt; Algebra -&gt; Prealgebra -&gt; Integers</t>
        </is>
      </c>
      <c r="D36" s="2" t="n">
        <v>4</v>
      </c>
      <c r="E36" s="2" t="inlineStr">
        <is>
          <t>In a certain base $b$, the square of $22_b$ is $514_b$.  What is $b$?</t>
        </is>
      </c>
      <c r="F36" s="2" t="inlineStr">
        <is>
          <t>yes</t>
        </is>
      </c>
      <c r="G36" s="2" t="inlineStr">
        <is>
          <t>polynomial base conversion, binomial expansion, digit constraint picks b=7</t>
        </is>
      </c>
      <c r="H36" s="2" t="inlineStr">
        <is>
          <t>yes</t>
        </is>
      </c>
      <c r="I36" s="2" t="inlineStr">
        <is>
          <t>polynomial base expansion, binomial square, discards root below max digit</t>
        </is>
      </c>
      <c r="J36" s="2" t="inlineStr">
        <is>
          <t>yes-&gt;yes</t>
        </is>
      </c>
    </row>
    <row r="37">
      <c r="A37" s="2" t="n">
        <v>217</v>
      </c>
      <c r="B37" s="2" t="inlineStr">
        <is>
          <t>q_82076</t>
        </is>
      </c>
      <c r="C37" s="2" t="inlineStr">
        <is>
          <t>Mathematics -&gt; Algebra -&gt; Algebra -&gt; Equations and Inequalities</t>
        </is>
      </c>
      <c r="D37" s="2" t="n">
        <v>7</v>
      </c>
      <c r="E37" s="2" t="inlineStr">
        <is>
          <t>Determine all pairs of prime numbers \(p\) and \(q\) such that \(p^3 + 19q^3 + 2018\) is a perfect cube.</t>
        </is>
      </c>
      <c r="F37" s="2" t="inlineStr">
        <is>
          <t>yes</t>
        </is>
      </c>
      <c r="G37" s="2" t="inlineStr">
        <is>
          <t>factorizes cube difference, mod 7 filter, small prime search</t>
        </is>
      </c>
      <c r="H37" s="2" t="inlineStr">
        <is>
          <t>yes</t>
        </is>
      </c>
      <c r="I37" s="2" t="inlineStr">
        <is>
          <t>modular residue filters plus small prime search finds (3,2)</t>
        </is>
      </c>
      <c r="J37" s="2" t="inlineStr">
        <is>
          <t>yes-&gt;yes</t>
        </is>
      </c>
    </row>
    <row r="38">
      <c r="A38" s="2" t="n">
        <v>218</v>
      </c>
      <c r="B38" s="2" t="inlineStr">
        <is>
          <t>q_24280</t>
        </is>
      </c>
      <c r="C38" s="2" t="inlineStr">
        <is>
          <t>Mathematics -&gt; Algebra -&gt; Intermediate Algebra -&gt; Complex Numbers</t>
        </is>
      </c>
      <c r="D38" s="2" t="n">
        <v>6</v>
      </c>
      <c r="E38" s="2" t="inlineStr">
        <is>
          <t>Let $A = \{ z \in \mathbb{C} : |z-1| \leq |z-i| \text{ and } |z-(2+2i)| \leq 1 \}$. Find the modulus of $z \in A$ such t</t>
        </is>
      </c>
      <c r="F38" s="2" t="inlineStr">
        <is>
          <t>unclear</t>
        </is>
      </c>
      <c r="G38" s="2" t="inlineStr">
        <is>
          <t>used bisector half-plane but skipped tangency/minimization core, jumped to intersection</t>
        </is>
      </c>
      <c r="H38" s="2" t="inlineStr">
        <is>
          <t>yes</t>
        </is>
      </c>
      <c r="I38" s="2" t="inlineStr">
        <is>
          <t>perpendicular bisector half-plane, tangency |z|^2=d^2-r^2 formula</t>
        </is>
      </c>
      <c r="J38" s="2" t="inlineStr">
        <is>
          <t>unclear-&gt;yes</t>
        </is>
      </c>
    </row>
    <row r="39">
      <c r="A39" s="2" t="n">
        <v>222</v>
      </c>
      <c r="B39" s="2" t="inlineStr">
        <is>
          <t>q_41740</t>
        </is>
      </c>
      <c r="C39" s="2" t="inlineStr">
        <is>
          <t>Mathematics -&gt; Precalculus -&gt; Trigonometric Functions</t>
        </is>
      </c>
      <c r="D39" s="2" t="n">
        <v>5</v>
      </c>
      <c r="E39" s="2" t="inlineStr">
        <is>
          <t>Given that \( \tan 3x = 4 \), find the value of \( S = \tan^2 x + \tan^2(120^\circ + x) + \tan^2(60^\circ + x) \).</t>
        </is>
      </c>
      <c r="F39" s="2" t="inlineStr">
        <is>
          <t>yes</t>
        </is>
      </c>
      <c r="G39" s="2" t="inlineStr">
        <is>
          <t>treated tangents as cubic roots, Vieta sum of squares</t>
        </is>
      </c>
      <c r="H39" s="2" t="inlineStr">
        <is>
          <t>yes</t>
        </is>
      </c>
      <c r="I39" s="2" t="inlineStr">
        <is>
          <t>derived cubic from triple-angle formula, applied Vieta's</t>
        </is>
      </c>
      <c r="J39" s="2" t="inlineStr">
        <is>
          <t>yes-&gt;yes</t>
        </is>
      </c>
    </row>
    <row r="40">
      <c r="A40" s="2" t="n">
        <v>224</v>
      </c>
      <c r="B40" s="2" t="inlineStr">
        <is>
          <t>q_10344</t>
        </is>
      </c>
      <c r="C40" s="2" t="inlineStr">
        <is>
          <t>Mathematics -&gt; Algebra -&gt; Intermediate Algebra -&gt; Complex Numbers</t>
        </is>
      </c>
      <c r="D40" s="2" t="n">
        <v>5</v>
      </c>
      <c r="E40" s="2" t="inlineStr">
        <is>
          <t>Determine whether the function $f(z) = 2z$ can be expressed in the form $f(z) = \frac{az+b}{cz+d}$, where $a, b, c, d \i</t>
        </is>
      </c>
      <c r="F40" s="2" t="inlineStr">
        <is>
          <t>yes</t>
        </is>
      </c>
      <c r="G40" s="2" t="inlineStr">
        <is>
          <t>cross-multiplied, set c=0, solved determinant constraint for coefficients</t>
        </is>
      </c>
      <c r="H40" s="2" t="inlineStr">
        <is>
          <t>yes</t>
        </is>
      </c>
      <c r="I40" s="2" t="inlineStr">
        <is>
          <t>cross-multiplies, sets c=0, solves then scales with determinant</t>
        </is>
      </c>
      <c r="J40" s="2" t="inlineStr">
        <is>
          <t>yes-&gt;yes</t>
        </is>
      </c>
    </row>
    <row r="41">
      <c r="A41" s="2" t="n">
        <v>226</v>
      </c>
      <c r="B41" s="2" t="inlineStr">
        <is>
          <t>q_90841</t>
        </is>
      </c>
      <c r="C41" s="2" t="inlineStr">
        <is>
          <t>Mathematics -&gt; Algebra -&gt; Algebra -&gt; Polynomial Operations</t>
        </is>
      </c>
      <c r="D41" s="2" t="n">
        <v>6</v>
      </c>
      <c r="E41" s="2" t="inlineStr">
        <is>
          <t>On three red and three blue cards, six different positive numbers are written. On the cards of one color, the pairwise s</t>
        </is>
      </c>
      <c r="F41" s="2" t="inlineStr">
        <is>
          <t>unclear</t>
        </is>
      </c>
      <c r="G41" s="2" t="inlineStr">
        <is>
          <t>sum-of-sums invariant only; no partition-verify or inversion recovery</t>
        </is>
      </c>
      <c r="H41" s="2" t="inlineStr">
        <is>
          <t>yes</t>
        </is>
      </c>
      <c r="I41" s="2" t="inlineStr">
        <is>
          <t>sum-of-sums invariant and direct inversion formula recovery</t>
        </is>
      </c>
      <c r="J41" s="2" t="inlineStr">
        <is>
          <t>unclear-&gt;yes</t>
        </is>
      </c>
    </row>
    <row r="42">
      <c r="A42" s="2" t="n">
        <v>227</v>
      </c>
      <c r="B42" s="2" t="inlineStr">
        <is>
          <t>q_88463</t>
        </is>
      </c>
      <c r="C42" s="2" t="inlineStr">
        <is>
          <t>Mathematics -&gt; Algebra -&gt; Intermediate Algebra -&gt; Complex Numbers</t>
        </is>
      </c>
      <c r="D42" s="2" t="n">
        <v>6</v>
      </c>
      <c r="E42" s="2" t="inlineStr">
        <is>
          <t>If the complex number \( z \) satisfies \( |z| = 2 \), find the maximum value of \( \frac{\left|z^{2}-z+1\right|}{|2z-1-</t>
        </is>
      </c>
      <c r="F42" s="2" t="inlineStr">
        <is>
          <t>yes</t>
        </is>
      </c>
      <c r="G42" s="2" t="inlineStr">
        <is>
          <t>factored into |z-root| terms, geometric max R+|a|</t>
        </is>
      </c>
      <c r="H42" s="2" t="inlineStr">
        <is>
          <t>yes</t>
        </is>
      </c>
      <c r="I42" s="2" t="inlineStr">
        <is>
          <t>factors via roots of unity, cancels, uses R+|a| maximum</t>
        </is>
      </c>
      <c r="J42" s="2" t="inlineStr">
        <is>
          <t>yes-&gt;yes</t>
        </is>
      </c>
    </row>
    <row r="43">
      <c r="A43" s="2" t="n">
        <v>237</v>
      </c>
      <c r="B43" s="2" t="inlineStr">
        <is>
          <t>q_66747</t>
        </is>
      </c>
      <c r="C43" s="2" t="inlineStr">
        <is>
          <t>Mathematics -&gt; Other</t>
        </is>
      </c>
      <c r="D43" s="2" t="n">
        <v>8</v>
      </c>
      <c r="E43" s="2" t="inlineStr">
        <is>
          <t>Evaluate the integral \( \int _0^\infty\frac{x \sin x}{1+x^2}dx \) using the residue theorem.</t>
        </is>
      </c>
      <c r="F43" s="2" t="inlineStr">
        <is>
          <t>yes</t>
        </is>
      </c>
      <c r="G43" s="2" t="inlineStr">
        <is>
          <t>used e^{iz}, UHP contour, residue at i, took imaginary part</t>
        </is>
      </c>
      <c r="H43" s="2" t="inlineStr">
        <is>
          <t>yes</t>
        </is>
      </c>
      <c r="I43" s="2" t="inlineStr">
        <is>
          <t>parity conversion, complex exponential, UHP contour, residue at i</t>
        </is>
      </c>
      <c r="J43" s="2" t="inlineStr">
        <is>
          <t>yes-&gt;yes</t>
        </is>
      </c>
    </row>
    <row r="44">
      <c r="A44" s="2" t="n">
        <v>260</v>
      </c>
      <c r="B44" s="2" t="inlineStr">
        <is>
          <t>q_1307</t>
        </is>
      </c>
      <c r="C44" s="2" t="inlineStr">
        <is>
          <t>Mathematics -&gt; Calculus -&gt; Integral Calculus -&gt; Integrals</t>
        </is>
      </c>
      <c r="D44" s="2" t="n">
        <v>8</v>
      </c>
      <c r="E44" s="2" t="inlineStr">
        <is>
          <t xml:space="preserve">For any complex-valued, nonconstant, and differentiable function $f$, is it possible that \( \text{Im} \int_0^1 f(x) \, </t>
        </is>
      </c>
      <c r="F44" s="2" t="inlineStr">
        <is>
          <t>yes</t>
        </is>
      </c>
      <c r="G44" s="2" t="inlineStr">
        <is>
          <t>decomposes u+iv, area-matching construction with decay condition</t>
        </is>
      </c>
      <c r="H44" s="2" t="inlineStr">
        <is>
          <t>yes</t>
        </is>
      </c>
      <c r="I44" s="2" t="inlineStr">
        <is>
          <t>decomposes f into u+iv, constructs area-matching v with decay</t>
        </is>
      </c>
      <c r="J44" s="2" t="inlineStr">
        <is>
          <t>yes-&gt;yes</t>
        </is>
      </c>
    </row>
    <row r="45">
      <c r="A45" s="2" t="n">
        <v>270</v>
      </c>
      <c r="B45" s="2" t="inlineStr">
        <is>
          <t>q_37917</t>
        </is>
      </c>
      <c r="C45" s="2" t="inlineStr">
        <is>
          <t>Mathematics -&gt; Geometry -&gt; Plane Geometry -&gt; Angles</t>
        </is>
      </c>
      <c r="D45" s="2" t="n">
        <v>4</v>
      </c>
      <c r="E45" s="2" t="inlineStr">
        <is>
          <t xml:space="preserve">Line l is tangent to circle O at point A. Let D be the foot of the perpendicular from A to chord BC. The perpendiculars </t>
        </is>
      </c>
      <c r="F45" s="2" t="inlineStr">
        <is>
          <t>unclear</t>
        </is>
      </c>
      <c r="G45" s="2" t="inlineStr">
        <is>
          <t>set tangent-axis coordinates but never used circle equation; unjustified symmetry</t>
        </is>
      </c>
      <c r="H45" s="2" t="inlineStr">
        <is>
          <t>unclear</t>
        </is>
      </c>
      <c r="I45" s="2" t="inlineStr">
        <is>
          <t>starts tangent-axis coordinates, then switches to power-of-point formula</t>
        </is>
      </c>
      <c r="J45" s="2" t="inlineStr">
        <is>
          <t>unclear-&gt;unclear</t>
        </is>
      </c>
    </row>
    <row r="46">
      <c r="A46" s="2" t="n">
        <v>274</v>
      </c>
      <c r="B46" s="2" t="inlineStr">
        <is>
          <t>q_19371</t>
        </is>
      </c>
      <c r="C46" s="2" t="inlineStr">
        <is>
          <t>Mathematics -&gt; Calculus -&gt; Differential Calculus -&gt; Applications of Derivatives</t>
        </is>
      </c>
      <c r="D46" s="2" t="n">
        <v>6</v>
      </c>
      <c r="E46" s="2" t="inlineStr">
        <is>
          <t>Determine the interval of convergence for the series \( \sum_{n=1}^{\infty} n \exp(-x \sqrt{n}) \).</t>
        </is>
      </c>
      <c r="F46" s="2" t="inlineStr">
        <is>
          <t>yes</t>
        </is>
      </c>
      <c r="G46" s="2" t="inlineStr">
        <is>
          <t>ratio test inconclusive, pivots to comparison, partitions x domain</t>
        </is>
      </c>
      <c r="H46" s="2" t="inlineStr">
        <is>
          <t>yes</t>
        </is>
      </c>
      <c r="I46" s="2" t="inlineStr">
        <is>
          <t>Integral Test with u=√n Gamma substitution, partitions x&gt;0, x=0, x&lt;0</t>
        </is>
      </c>
      <c r="J46" s="2" t="inlineStr">
        <is>
          <t>yes-&gt;yes</t>
        </is>
      </c>
    </row>
    <row r="47">
      <c r="A47" s="2" t="n">
        <v>278</v>
      </c>
      <c r="B47" s="2" t="inlineStr">
        <is>
          <t>q_74935</t>
        </is>
      </c>
      <c r="C47" s="2" t="inlineStr">
        <is>
          <t>Mathematics -&gt; Calculus -&gt; Differential Calculus -&gt; Derivatives</t>
        </is>
      </c>
      <c r="D47" s="2" t="n">
        <v>6.5</v>
      </c>
      <c r="E47" s="2" t="inlineStr">
        <is>
          <t>Consider a function $f: \mathbb{R}^n \to \mathbb{R}$ that is twice continuously differentiable. If Schwarz's theorem sta</t>
        </is>
      </c>
      <c r="F47" s="2" t="inlineStr">
        <is>
          <t>yes</t>
        </is>
      </c>
      <c r="G47" s="2" t="inlineStr">
        <is>
          <t>symmetric Hessian bilinear form uTHv generalizes to arbitrary vectors</t>
        </is>
      </c>
      <c r="H47" s="2" t="inlineStr">
        <is>
          <t>yes</t>
        </is>
      </c>
      <c r="I47" s="2" t="inlineStr">
        <is>
          <t>symmetric Hessian bilinear form u^THv plus Taylor expansion</t>
        </is>
      </c>
      <c r="J47" s="2" t="inlineStr">
        <is>
          <t>yes-&gt;yes</t>
        </is>
      </c>
    </row>
    <row r="48">
      <c r="A48" s="2" t="n">
        <v>280</v>
      </c>
      <c r="B48" s="2" t="inlineStr">
        <is>
          <t>q_19865</t>
        </is>
      </c>
      <c r="C48" s="2" t="inlineStr">
        <is>
          <t>Mathematics -&gt; Calculus -&gt; Integral Calculus -&gt; Applications of Integrals</t>
        </is>
      </c>
      <c r="D48" s="2" t="n">
        <v>4.5</v>
      </c>
      <c r="E48" s="2" t="inlineStr">
        <is>
          <t>Find the volume of the solid obtained by revolving the region bounded by \( y = \sin\left(\frac{\pi x}{12}\right) \) and</t>
        </is>
      </c>
      <c r="F48" s="2" t="inlineStr">
        <is>
          <t>yes</t>
        </is>
      </c>
      <c r="G48" s="2" t="inlineStr">
        <is>
          <t>shell radius x+1, roots for bounds, integration by parts</t>
        </is>
      </c>
      <c r="H48" s="2" t="inlineStr">
        <is>
          <t>yes</t>
        </is>
      </c>
      <c r="I48" s="2" t="inlineStr">
        <is>
          <t>shell radius x+1, roots for bounds, integration by parts</t>
        </is>
      </c>
      <c r="J48" s="2" t="inlineStr">
        <is>
          <t>yes-&gt;yes</t>
        </is>
      </c>
    </row>
    <row r="49">
      <c r="A49" s="2" t="n">
        <v>281</v>
      </c>
      <c r="B49" s="2" t="inlineStr">
        <is>
          <t>q_84921</t>
        </is>
      </c>
      <c r="C49" s="2" t="inlineStr">
        <is>
          <t>Mathematics -&gt; Discrete Mathematics -&gt; Logic</t>
        </is>
      </c>
      <c r="D49" s="2" t="n">
        <v>5.5</v>
      </c>
      <c r="E49" s="2" t="inlineStr">
        <is>
          <t xml:space="preserve">Each of the 1000 gnomes has a hat, blue on the outside and red on the inside (or vice versa). If a gnome is wearing the </t>
        </is>
      </c>
      <c r="F49" s="2" t="inlineStr">
        <is>
          <t>unclear</t>
        </is>
      </c>
      <c r="G49" s="2" t="inlineStr">
        <is>
          <t>single bipartition flip only; no recursion or toggling carried through</t>
        </is>
      </c>
      <c r="H49" s="2" t="inlineStr">
        <is>
          <t>yes</t>
        </is>
      </c>
      <c r="I49" s="2" t="inlineStr">
        <is>
          <t>opposite-color constraint simplification, small-N pattern extrapolated to n/2</t>
        </is>
      </c>
      <c r="J49" s="2" t="inlineStr">
        <is>
          <t>unclear-&gt;yes</t>
        </is>
      </c>
    </row>
    <row r="50">
      <c r="A50" s="2" t="n">
        <v>294</v>
      </c>
      <c r="B50" s="2" t="inlineStr">
        <is>
          <t>q_2094</t>
        </is>
      </c>
      <c r="C50" s="2" t="inlineStr">
        <is>
          <t>Mathematics -&gt; Algebra -&gt; Linear Algebra -&gt; Matrices</t>
        </is>
      </c>
      <c r="D50" s="2" t="n">
        <v>8</v>
      </c>
      <c r="E50" s="2" t="inlineStr">
        <is>
          <t>Determine whether every unitary matrix can be expressed as the exponential of a skew-adjoint matrix.</t>
        </is>
      </c>
      <c r="F50" s="2" t="inlineStr">
        <is>
          <t>yes</t>
        </is>
      </c>
      <c r="G50" s="2" t="inlineStr">
        <is>
          <t>unitary diagonalization, eigenvalue logarithms, constructed skew-adjoint generator</t>
        </is>
      </c>
      <c r="H50" s="2" t="inlineStr">
        <is>
          <t>yes</t>
        </is>
      </c>
      <c r="I50" s="2" t="inlineStr">
        <is>
          <t>unitary diagonalization, e^{i theta} eigenvalues, builds skew-adjoint generator</t>
        </is>
      </c>
      <c r="J50" s="2" t="inlineStr">
        <is>
          <t>yes-&gt;yes</t>
        </is>
      </c>
    </row>
    <row r="51">
      <c r="A51" s="2" t="n">
        <v>298</v>
      </c>
      <c r="B51" s="2" t="inlineStr">
        <is>
          <t>q_68877</t>
        </is>
      </c>
      <c r="C51" s="2" t="inlineStr">
        <is>
          <t>Mathematics -&gt; Applied Mathematics -&gt; Statistics -&gt; Probability -&gt; Other</t>
        </is>
      </c>
      <c r="D51" s="2" t="n">
        <v>5</v>
      </c>
      <c r="E51" s="2" t="inlineStr">
        <is>
          <t>Determine the minimum number of coin flips, $n$, required to ensure that the estimated probability $\hat{p} = X/n$ is wi</t>
        </is>
      </c>
      <c r="F51" s="2" t="inlineStr">
        <is>
          <t>yes</t>
        </is>
      </c>
      <c r="G51" s="2" t="inlineStr">
        <is>
          <t>z-score inequality, worst-case lower bound p=0.4, ceiling rounding</t>
        </is>
      </c>
      <c r="H51" s="2" t="inlineStr">
        <is>
          <t>yes</t>
        </is>
      </c>
      <c r="I51" s="2" t="inlineStr">
        <is>
          <t>relative-error formula z^2(1-p)/(eps^2 p), worst-case p=0.4, ceiling</t>
        </is>
      </c>
      <c r="J51" s="2" t="inlineStr">
        <is>
          <t>yes-&gt;yes</t>
        </is>
      </c>
    </row>
    <row r="52">
      <c r="A52" s="2" t="n">
        <v>300</v>
      </c>
      <c r="B52" s="2" t="inlineStr">
        <is>
          <t>q_3778</t>
        </is>
      </c>
      <c r="C52" s="2" t="inlineStr">
        <is>
          <t>Mathematics -&gt; Algebra -&gt; Abstract Algebra -&gt; Field Theory</t>
        </is>
      </c>
      <c r="D52" s="2" t="n">
        <v>7</v>
      </c>
      <c r="E52" s="2" t="inlineStr">
        <is>
          <t>Determine whether the function \( f \) satisfying the relation \( \forall x,y \in \mathbb{R}: f(x+f(y))=f(x)+y \) is one</t>
        </is>
      </c>
      <c r="F52" s="2" t="inlineStr">
        <is>
          <t>yes</t>
        </is>
      </c>
      <c r="G52" s="2" t="inlineStr">
        <is>
          <t>x=0 substitution, f(a)=f(b) composition cancellation, surjectivity test</t>
        </is>
      </c>
      <c r="H52" s="2" t="inlineStr">
        <is>
          <t>yes</t>
        </is>
      </c>
      <c r="I52" s="2" t="inlineStr">
        <is>
          <t>derived f(f(u))=u via substitution, composed to prove injectivity</t>
        </is>
      </c>
      <c r="J52" s="2" t="inlineStr">
        <is>
          <t>yes-&gt;yes</t>
        </is>
      </c>
    </row>
    <row r="53">
      <c r="A53" s="2" t="n">
        <v>301</v>
      </c>
      <c r="B53" s="2" t="inlineStr">
        <is>
          <t>q_100169</t>
        </is>
      </c>
      <c r="C53" s="2" t="inlineStr">
        <is>
          <t>Mathematics -&gt; Precalculus -&gt; Trigonometric Functions</t>
        </is>
      </c>
      <c r="D53" s="2" t="n">
        <v>5</v>
      </c>
      <c r="E53" s="2" t="inlineStr">
        <is>
          <t>Let $S$ be the set of all real values of $x$ with $0 &lt; x &lt; \frac{\pi}{2}$ such that $\sin x$, $\cos x$, and $\tan x$ for</t>
        </is>
      </c>
      <c r="F53" s="2" t="inlineStr">
        <is>
          <t>yes</t>
        </is>
      </c>
      <c r="G53" s="2" t="inlineStr">
        <is>
          <t>hypotenuse case elimination via monotonicity, Pythagorean identity reduction</t>
        </is>
      </c>
      <c r="H53" s="2" t="inlineStr">
        <is>
          <t>yes</t>
        </is>
      </c>
      <c r="I53" s="2" t="inlineStr">
        <is>
          <t>exhaustive hypotenuse cases, identity reduction, summed tan^2 values</t>
        </is>
      </c>
      <c r="J53" s="2" t="inlineStr">
        <is>
          <t>yes-&gt;yes</t>
        </is>
      </c>
    </row>
    <row r="54">
      <c r="A54" s="2" t="n">
        <v>305</v>
      </c>
      <c r="B54" s="2" t="inlineStr">
        <is>
          <t>q_21797</t>
        </is>
      </c>
      <c r="C54" s="2" t="inlineStr">
        <is>
          <t>Mathematics -&gt; Algebra -&gt; Abstract Algebra -&gt; Group Theory</t>
        </is>
      </c>
      <c r="D54" s="2" t="n">
        <v>8.5</v>
      </c>
      <c r="E54" s="2" t="inlineStr">
        <is>
          <t xml:space="preserve">Let $G$ be a connected compact Lie group and $H$ be a connected Lie subgroup of $G$ such that $G$ and $H$ have the same </t>
        </is>
      </c>
      <c r="F54" s="2" t="inlineStr">
        <is>
          <t>yes</t>
        </is>
      </c>
      <c r="G54" s="2" t="inlineStr">
        <is>
          <t>equal rank, Hopf-Samelson Euler characteristic nonzero, even</t>
        </is>
      </c>
      <c r="H54" s="2" t="inlineStr">
        <is>
          <t>yes</t>
        </is>
      </c>
      <c r="I54" s="2" t="inlineStr">
        <is>
          <t>used maximal torus, Hopf-Samelson Euler characteristic parity argument</t>
        </is>
      </c>
      <c r="J54" s="2" t="inlineStr">
        <is>
          <t>yes-&gt;yes</t>
        </is>
      </c>
    </row>
    <row r="55">
      <c r="A55" s="2" t="n">
        <v>313</v>
      </c>
      <c r="B55" s="2" t="inlineStr">
        <is>
          <t>q_91049</t>
        </is>
      </c>
      <c r="C55" s="2" t="inlineStr">
        <is>
          <t>Mathematics -&gt; Algebra -&gt; Algebra -&gt; Equations and Inequalities</t>
        </is>
      </c>
      <c r="D55" s="2" t="n">
        <v>5</v>
      </c>
      <c r="E55" s="2" t="inlineStr">
        <is>
          <t>In a finite arithmetic progression, the sum of the absolute values of its terms is 100. If each term is increased by 1 o</t>
        </is>
      </c>
      <c r="F55" s="2" t="inlineStr">
        <is>
          <t>yes</t>
        </is>
      </c>
      <c r="G55" s="2" t="inlineStr">
        <is>
          <t>even n=2m, |d|m^2=100 shortcut, derived plus-minus 400</t>
        </is>
      </c>
      <c r="H55" s="2" t="inlineStr">
        <is>
          <t>yes</t>
        </is>
      </c>
      <c r="I55" s="2" t="inlineStr">
        <is>
          <t>used symmetry, even n, |d|m^2=100 formula</t>
        </is>
      </c>
      <c r="J55" s="2" t="inlineStr">
        <is>
          <t>yes-&gt;yes</t>
        </is>
      </c>
    </row>
    <row r="56">
      <c r="A56" s="2" t="n">
        <v>319</v>
      </c>
      <c r="B56" s="2" t="inlineStr">
        <is>
          <t>q_78486</t>
        </is>
      </c>
      <c r="C56" s="2" t="inlineStr">
        <is>
          <t>Mathematics -&gt; Precalculus -&gt; Limits</t>
        </is>
      </c>
      <c r="D56" s="2" t="n">
        <v>5.5</v>
      </c>
      <c r="E56" s="2" t="inlineStr">
        <is>
          <t>Determine whether the sequence \(\dfrac{1}{n^2} \sum_{i=1}^n \dfrac{1}{i}\) converges or diverges. If it converges, find</t>
        </is>
      </c>
      <c r="F56" s="2" t="inlineStr">
        <is>
          <t>yes</t>
        </is>
      </c>
      <c r="G56" s="2" t="inlineStr">
        <is>
          <t>substitutes harmonic sum ~ ln n, growth hierarchy, squeeze theorem</t>
        </is>
      </c>
      <c r="H56" s="2" t="inlineStr">
        <is>
          <t>yes</t>
        </is>
      </c>
      <c r="I56" s="2" t="inlineStr">
        <is>
          <t>harmonic sum as ln n, growth hierarchy, squeeze theorem</t>
        </is>
      </c>
      <c r="J56" s="2" t="inlineStr">
        <is>
          <t>yes-&gt;yes</t>
        </is>
      </c>
    </row>
    <row r="57">
      <c r="A57" s="2" t="n">
        <v>324</v>
      </c>
      <c r="B57" s="2" t="inlineStr">
        <is>
          <t>q_91378</t>
        </is>
      </c>
      <c r="C57" s="2" t="inlineStr">
        <is>
          <t>Mathematics -&gt; Algebra -&gt; Intermediate Algebra -&gt; Other</t>
        </is>
      </c>
      <c r="D57" s="2" t="n">
        <v>5.5</v>
      </c>
      <c r="E57" s="2" t="inlineStr">
        <is>
          <t>Suppose that \( f_{1}(x)=\frac{1}{2-x} \). For each positive integer \( n \geq 2 \), define \( f_{n}(x)=f_{1}\left(f_{n-</t>
        </is>
      </c>
      <c r="F57" s="2" t="inlineStr">
        <is>
          <t>yes</t>
        </is>
      </c>
      <c r="G57" s="2" t="inlineStr">
        <is>
          <t>computed f1-f4, identified pattern per card's verification strategy</t>
        </is>
      </c>
      <c r="H57" s="2" t="inlineStr">
        <is>
          <t>yes</t>
        </is>
      </c>
      <c r="I57" s="2" t="inlineStr">
        <is>
          <t>matrix Mobius representation, nilpotent decomposition, M^2019=I+2019N</t>
        </is>
      </c>
      <c r="J57" s="2" t="inlineStr">
        <is>
          <t>yes-&gt;yes</t>
        </is>
      </c>
    </row>
    <row r="58">
      <c r="A58" s="2" t="n">
        <v>327</v>
      </c>
      <c r="B58" s="2" t="inlineStr">
        <is>
          <t>q_21721</t>
        </is>
      </c>
      <c r="C58" s="2" t="inlineStr">
        <is>
          <t>Mathematics -&gt; Calculus -&gt; Differential Calculus -&gt; Other</t>
        </is>
      </c>
      <c r="D58" s="2" t="n">
        <v>7</v>
      </c>
      <c r="E58" s="2" t="inlineStr">
        <is>
          <t>Find the residue of the function \( z^3 \cosh \left( \frac{1}{z} \right) \) at \( z = 0 \).</t>
        </is>
      </c>
      <c r="F58" s="2" t="inlineStr">
        <is>
          <t>yes</t>
        </is>
      </c>
      <c r="G58" s="2" t="inlineStr">
        <is>
          <t>Laurent expansion, solved 3-2n=-1, parity check</t>
        </is>
      </c>
      <c r="H58" s="2" t="inlineStr">
        <is>
          <t>yes</t>
        </is>
      </c>
      <c r="I58" s="2" t="inlineStr">
        <is>
          <t>Laurent expansion, solved 3-2n=-1 for coefficient</t>
        </is>
      </c>
      <c r="J58" s="2" t="inlineStr">
        <is>
          <t>yes-&gt;yes</t>
        </is>
      </c>
    </row>
    <row r="59">
      <c r="A59" s="2" t="n">
        <v>330</v>
      </c>
      <c r="B59" s="2" t="inlineStr">
        <is>
          <t>q_98999</t>
        </is>
      </c>
      <c r="C59" s="2" t="inlineStr">
        <is>
          <t>Mathematics -&gt; Geometry -&gt; Plane Geometry -&gt; Polygons</t>
        </is>
      </c>
      <c r="D59" s="2" t="n">
        <v>3</v>
      </c>
      <c r="E59" s="2" t="inlineStr">
        <is>
          <t>In the diagram, what is the perimeter of polygon $PQRST$? [asy]  import olympiad;  size(6cm); // ADJUST  pair p = (0, 6)</t>
        </is>
      </c>
      <c r="F59" s="2" t="inlineStr">
        <is>
          <t>yes</t>
        </is>
      </c>
      <c r="G59" s="2" t="inlineStr">
        <is>
          <t>tick-mark congruency, Pythagorean decomposition, perimeter summation, misassigned sides</t>
        </is>
      </c>
      <c r="H59" s="2" t="inlineStr">
        <is>
          <t>yes</t>
        </is>
      </c>
      <c r="I59" s="2" t="inlineStr">
        <is>
          <t>Cartesian coordinates, Pythagorean diagonal RS=5, cycle summation</t>
        </is>
      </c>
      <c r="J59" s="2" t="inlineStr">
        <is>
          <t>yes-&gt;yes</t>
        </is>
      </c>
    </row>
    <row r="60">
      <c r="A60" s="2" t="n">
        <v>348</v>
      </c>
      <c r="B60" s="2" t="inlineStr">
        <is>
          <t>q_64299</t>
        </is>
      </c>
      <c r="C60" s="2" t="inlineStr">
        <is>
          <t>Mathematics -&gt; Algebra -&gt; Abstract Algebra -&gt; Group Theory</t>
        </is>
      </c>
      <c r="D60" s="2" t="n">
        <v>8.5</v>
      </c>
      <c r="E60" s="2" t="inlineStr">
        <is>
          <t>Determine whether there exists a path-connected topological space such that its fundamental group is non-trivial, but it</t>
        </is>
      </c>
      <c r="F60" s="2" t="inlineStr">
        <is>
          <t>yes</t>
        </is>
      </c>
      <c r="G60" s="2" t="inlineStr">
        <is>
          <t>Hurewicz, perfect group A_n, presentation 2-complex construction</t>
        </is>
      </c>
      <c r="H60" s="2" t="inlineStr">
        <is>
          <t>yes</t>
        </is>
      </c>
      <c r="I60" s="2" t="inlineStr">
        <is>
          <t>Hurewicz theorem, perfect group A_n for n≥5</t>
        </is>
      </c>
      <c r="J60" s="2" t="inlineStr">
        <is>
          <t>yes-&gt;yes</t>
        </is>
      </c>
    </row>
    <row r="61">
      <c r="A61" s="2" t="n">
        <v>351</v>
      </c>
      <c r="B61" s="2" t="inlineStr">
        <is>
          <t>q_34693</t>
        </is>
      </c>
      <c r="C61" s="2" t="inlineStr">
        <is>
          <t>Mathematics -&gt; Algebra -&gt; Linear Algebra -&gt; Linear Transformations</t>
        </is>
      </c>
      <c r="D61" s="2" t="n">
        <v>4.5</v>
      </c>
      <c r="E61" s="2" t="inlineStr">
        <is>
          <t>Can the Gram-Schmidt process be used to construct an orthonormal basis from a linearly independent subset of an inner pr</t>
        </is>
      </c>
      <c r="F61" s="2" t="inlineStr">
        <is>
          <t>yes</t>
        </is>
      </c>
      <c r="G61" s="2" t="inlineStr">
        <is>
          <t>applied Gram-Schmidt steps: orthogonalize, normalize, span-basis distinction</t>
        </is>
      </c>
      <c r="H61" s="2" t="inlineStr">
        <is>
          <t>yes</t>
        </is>
      </c>
      <c r="I61" s="2" t="inlineStr">
        <is>
          <t>applied Gram-Schmidt reasoning: no zero vector, normalization, span basis</t>
        </is>
      </c>
      <c r="J61" s="2" t="inlineStr">
        <is>
          <t>yes-&gt;yes</t>
        </is>
      </c>
    </row>
    <row r="62">
      <c r="A62" s="2" t="n">
        <v>358</v>
      </c>
      <c r="B62" s="2" t="inlineStr">
        <is>
          <t>q_43383</t>
        </is>
      </c>
      <c r="C62" s="2" t="inlineStr">
        <is>
          <t>Mathematics -&gt; Calculus -&gt; Differential Calculus -&gt; Derivatives</t>
        </is>
      </c>
      <c r="D62" s="2" t="n">
        <v>5</v>
      </c>
      <c r="E62" s="2" t="inlineStr">
        <is>
          <t>Evaluate the limit: $$\lim_{x \to 0} \frac{\arcsin^3x-\sqrt{1-x^2} \arcsin x}{x}$$ without using L'Hopital's Rule.</t>
        </is>
      </c>
      <c r="F62" s="2" t="inlineStr">
        <is>
          <t>yes</t>
        </is>
      </c>
      <c r="G62" s="2" t="inlineStr">
        <is>
          <t>factors out arcsin x, product of limits, Maclaurin expansions</t>
        </is>
      </c>
      <c r="H62" s="2" t="inlineStr">
        <is>
          <t>yes</t>
        </is>
      </c>
      <c r="I62" s="2" t="inlineStr">
        <is>
          <t>Maclaurin expansions of arcsin and sqrt, extracted leading terms</t>
        </is>
      </c>
      <c r="J62" s="2" t="inlineStr">
        <is>
          <t>yes-&gt;yes</t>
        </is>
      </c>
    </row>
    <row r="63">
      <c r="A63" s="2" t="n">
        <v>359</v>
      </c>
      <c r="B63" s="2" t="inlineStr">
        <is>
          <t>q_837</t>
        </is>
      </c>
      <c r="C63" s="2" t="inlineStr">
        <is>
          <t>Mathematics -&gt; Calculus -&gt; Integral Calculus -&gt; Techniques of Integration -&gt; Single-variable</t>
        </is>
      </c>
      <c r="D63" s="2" t="n">
        <v>7.5</v>
      </c>
      <c r="E63" s="2" t="inlineStr">
        <is>
          <t>Determine whether the function \( f(x) = \begin{cases} \frac{1}{\sqrt{x}}, &amp; x \in \mathbb{I} \cap [0,1] \\ x^3, &amp; x \in</t>
        </is>
      </c>
      <c r="F63" s="2" t="inlineStr">
        <is>
          <t>yes</t>
        </is>
      </c>
      <c r="G63" s="2" t="inlineStr">
        <is>
          <t>discards Q as measure zero, checks measurability and finite integral</t>
        </is>
      </c>
      <c r="H63" s="2" t="inlineStr">
        <is>
          <t>yes</t>
        </is>
      </c>
      <c r="I63" s="2" t="inlineStr">
        <is>
          <t>ignored rationals a.e., checked measurability, integrated 1/sqrt(x) finitely</t>
        </is>
      </c>
      <c r="J63" s="2" t="inlineStr">
        <is>
          <t>yes-&gt;yes</t>
        </is>
      </c>
    </row>
    <row r="64">
      <c r="A64" s="2" t="n">
        <v>360</v>
      </c>
      <c r="B64" s="2" t="inlineStr">
        <is>
          <t>q_83584</t>
        </is>
      </c>
      <c r="C64" s="2" t="inlineStr">
        <is>
          <t>Mathematics -&gt; Other</t>
        </is>
      </c>
      <c r="D64" s="2" t="n">
        <v>8</v>
      </c>
      <c r="E64" s="2" t="inlineStr">
        <is>
          <t>Is there a topological space where every real-valued function achieves its minimum, but the space is not compact?</t>
        </is>
      </c>
      <c r="F64" s="2" t="inlineStr">
        <is>
          <t>yes</t>
        </is>
      </c>
      <c r="G64" s="2" t="inlineStr">
        <is>
          <t>particular point topology, constant functions, one-point-per-set open cover</t>
        </is>
      </c>
      <c r="H64" s="2" t="inlineStr">
        <is>
          <t>yes</t>
        </is>
      </c>
      <c r="I64" s="2" t="inlineStr">
        <is>
          <t>particular point topology forcing constant functions, singleton open cover</t>
        </is>
      </c>
      <c r="J64" s="2" t="inlineStr">
        <is>
          <t>yes-&gt;yes</t>
        </is>
      </c>
    </row>
    <row r="65">
      <c r="A65" s="2" t="n">
        <v>361</v>
      </c>
      <c r="B65" s="2" t="inlineStr">
        <is>
          <t>q_2226</t>
        </is>
      </c>
      <c r="C65" s="2" t="inlineStr">
        <is>
          <t>Mathematics -&gt; Calculus -&gt; Differential Calculus -&gt; Applications of Derivatives</t>
        </is>
      </c>
      <c r="D65" s="2" t="n">
        <v>6.5</v>
      </c>
      <c r="E65" s="2" t="inlineStr">
        <is>
          <t>Determine the radius of convergence of the Taylor series for the function \( g(z) = \frac{\sin z - z + \frac{z^3}{6}}{\c</t>
        </is>
      </c>
      <c r="F65" s="2" t="inlineStr">
        <is>
          <t>yes</t>
        </is>
      </c>
      <c r="G65" s="2" t="inlineStr">
        <is>
          <t>compares zero orders at 0, finds denominator roots, distance to pole</t>
        </is>
      </c>
      <c r="H65" s="2" t="inlineStr">
        <is>
          <t>yes</t>
        </is>
      </c>
      <c r="I65" s="2" t="inlineStr">
        <is>
          <t>finds denominator zeros, checks numerator cancellation, nearest pole distance</t>
        </is>
      </c>
      <c r="J65" s="2" t="inlineStr">
        <is>
          <t>yes-&gt;yes</t>
        </is>
      </c>
    </row>
    <row r="66">
      <c r="A66" s="2" t="n">
        <v>388</v>
      </c>
      <c r="B66" s="2" t="inlineStr">
        <is>
          <t>q_51175</t>
        </is>
      </c>
      <c r="C66" s="2" t="inlineStr">
        <is>
          <t>Mathematics -&gt; Number Theory -&gt; Congruences</t>
        </is>
      </c>
      <c r="D66" s="2" t="n">
        <v>5.5</v>
      </c>
      <c r="E66" s="2" t="inlineStr">
        <is>
          <t>Find the integer $x$ such that $x^{11} \equiv 10 \pmod{42}$, given that $11^{-1} \equiv 15 \pmod{41}$. Provide your answ</t>
        </is>
      </c>
      <c r="F66" s="2" t="inlineStr">
        <is>
          <t>yes</t>
        </is>
      </c>
      <c r="G66" s="2" t="inlineStr">
        <is>
          <t>CRT decomposition, Fermat exponent reduction, brute-force residues mod 7</t>
        </is>
      </c>
      <c r="H66" s="2" t="inlineStr">
        <is>
          <t>yes</t>
        </is>
      </c>
      <c r="I66" s="2" t="inlineStr">
        <is>
          <t>CRT decomposition, Fermat, brute force mod 7, iterative recombination</t>
        </is>
      </c>
      <c r="J66" s="2" t="inlineStr">
        <is>
          <t>yes-&gt;yes</t>
        </is>
      </c>
    </row>
    <row r="67">
      <c r="A67" s="2" t="n">
        <v>389</v>
      </c>
      <c r="B67" s="2" t="inlineStr">
        <is>
          <t>q_56885</t>
        </is>
      </c>
      <c r="C67" s="2" t="inlineStr">
        <is>
          <t>Mathematics -&gt; Calculus -&gt; Integral Calculus -&gt; Techniques of Integration -&gt; Multi-variable</t>
        </is>
      </c>
      <c r="D67" s="2" t="n">
        <v>7</v>
      </c>
      <c r="E67" s="2" t="inlineStr">
        <is>
          <t>Evaluate the integral \( I(a) = \frac{1}{2\pi i} \int_{\gamma} \frac{f(z)}{(z-a)^2} \, dz \) for \(|a| &lt; 1\), where \(\g</t>
        </is>
      </c>
      <c r="F67" s="2" t="inlineStr">
        <is>
          <t>yes</t>
        </is>
      </c>
      <c r="G67" s="2" t="inlineStr">
        <is>
          <t>applies Cauchy derivative formula, maps n=2 to f'(a)</t>
        </is>
      </c>
      <c r="H67" s="2" t="inlineStr">
        <is>
          <t>yes</t>
        </is>
      </c>
      <c r="I67" s="2" t="inlineStr">
        <is>
          <t>applied Cauchy formula for first derivative, f'(a)</t>
        </is>
      </c>
      <c r="J67" s="2" t="inlineStr">
        <is>
          <t>yes-&gt;yes</t>
        </is>
      </c>
    </row>
    <row r="68">
      <c r="A68" s="2" t="n">
        <v>398</v>
      </c>
      <c r="B68" s="2" t="inlineStr">
        <is>
          <t>q_11456</t>
        </is>
      </c>
      <c r="C68" s="2" t="inlineStr">
        <is>
          <t>Mathematics -&gt; Applied Mathematics -&gt; Statistics -&gt; Probability -&gt; Other</t>
        </is>
      </c>
      <c r="D68" s="2" t="n">
        <v>6</v>
      </c>
      <c r="E68" s="2" t="inlineStr">
        <is>
          <t>Two points are chosen uniformly and independently on the perimeter of a circle with radius 1. This divides the perimeter</t>
        </is>
      </c>
      <c r="F68" s="2" t="inlineStr">
        <is>
          <t>yes</t>
        </is>
      </c>
      <c r="G68" s="2" t="inlineStr">
        <is>
          <t>fixed reference point, used uniformity-of-minimum distribution strategy</t>
        </is>
      </c>
      <c r="H68" s="2" t="inlineStr">
        <is>
          <t>yes</t>
        </is>
      </c>
      <c r="I68" s="2" t="inlineStr">
        <is>
          <t>fixes reference point, survival function P(Y&gt;z) derivation</t>
        </is>
      </c>
      <c r="J68" s="2" t="inlineStr">
        <is>
          <t>yes-&gt;yes</t>
        </is>
      </c>
    </row>
    <row r="69">
      <c r="A69" s="2" t="n">
        <v>416</v>
      </c>
      <c r="B69" s="2" t="inlineStr">
        <is>
          <t>q_74325</t>
        </is>
      </c>
      <c r="C69" s="2" t="inlineStr">
        <is>
          <t>Mathematics -&gt; Applied Mathematics -&gt; Statistics -&gt; Probability -&gt; Other</t>
        </is>
      </c>
      <c r="D69" s="2" t="n">
        <v>5.5</v>
      </c>
      <c r="E69" s="2" t="inlineStr">
        <is>
          <t>A radioactive element decays according to a Poisson process with a rate of $10,000$ decays per second. Calculate the app</t>
        </is>
      </c>
      <c r="F69" s="2" t="inlineStr">
        <is>
          <t>yes</t>
        </is>
      </c>
      <c r="G69" s="2" t="inlineStr">
        <is>
          <t>duality to N(t), normal approximation, Z-score</t>
        </is>
      </c>
      <c r="H69" s="2" t="inlineStr">
        <is>
          <t>yes</t>
        </is>
      </c>
      <c r="I69" s="2" t="inlineStr">
        <is>
          <t>duality principle, normal approximation with n/λ and √n/λ, Z-score</t>
        </is>
      </c>
      <c r="J69" s="2" t="inlineStr">
        <is>
          <t>yes-&gt;yes</t>
        </is>
      </c>
    </row>
    <row r="70">
      <c r="A70" s="2" t="n">
        <v>463</v>
      </c>
      <c r="B70" s="2" t="inlineStr">
        <is>
          <t>q_9698</t>
        </is>
      </c>
      <c r="C70" s="2" t="inlineStr">
        <is>
          <t>Mathematics -&gt; Algebra -&gt; Abstract Algebra -&gt; Group Theory</t>
        </is>
      </c>
      <c r="D70" s="2" t="n">
        <v>9</v>
      </c>
      <c r="E70" s="2" t="inlineStr">
        <is>
          <t>Suppose $X$ is a continuum of dimension one and $Y$ is a subcontinuum of $X$. If the first Cech cohomology group $\check</t>
        </is>
      </c>
      <c r="F70" s="2" t="inlineStr">
        <is>
          <t>yes</t>
        </is>
      </c>
      <c r="G70" s="2" t="inlineStr">
        <is>
          <t>uses loop-extension view plus monotonicity/injectivity of induced map</t>
        </is>
      </c>
      <c r="H70" s="2" t="inlineStr">
        <is>
          <t>yes</t>
        </is>
      </c>
      <c r="I70" s="2" t="inlineStr">
        <is>
          <t>monotonicity of induced map plus loop extension to S1</t>
        </is>
      </c>
      <c r="J70" s="2" t="inlineStr">
        <is>
          <t>yes-&gt;yes</t>
        </is>
      </c>
    </row>
    <row r="71">
      <c r="A71" s="2" t="n">
        <v>464</v>
      </c>
      <c r="B71" s="2" t="inlineStr">
        <is>
          <t>q_98639</t>
        </is>
      </c>
      <c r="C71" s="2" t="inlineStr">
        <is>
          <t>Mathematics -&gt; Geometry -&gt; Solid Geometry -&gt; 3D Shapes</t>
        </is>
      </c>
      <c r="D71" s="2" t="n">
        <v>5</v>
      </c>
      <c r="E71" s="2" t="inlineStr">
        <is>
          <t>Points $A$, $B$, $C$, and $T$ are in space such that each of $\overline{TA}$, $\overline{TB}$, and $\overline{TC}$ is pe</t>
        </is>
      </c>
      <c r="F71" s="2" t="inlineStr">
        <is>
          <t>yes</t>
        </is>
      </c>
      <c r="G71" s="2" t="inlineStr">
        <is>
          <t>origin coordinates at T, point-to-plane distance formula applied</t>
        </is>
      </c>
      <c r="H71" s="2" t="inlineStr">
        <is>
          <t>yes</t>
        </is>
      </c>
      <c r="I71" s="2" t="inlineStr">
        <is>
          <t>origin coordinates, intercept plane form, point-plane distance formula</t>
        </is>
      </c>
      <c r="J71" s="2" t="inlineStr">
        <is>
          <t>yes-&gt;yes</t>
        </is>
      </c>
    </row>
    <row r="72">
      <c r="A72" s="2" t="n">
        <v>487</v>
      </c>
      <c r="B72" s="2" t="inlineStr">
        <is>
          <t>q_1912</t>
        </is>
      </c>
      <c r="C72" s="2" t="inlineStr">
        <is>
          <t>Mathematics -&gt; Applied Mathematics -&gt; Statistics -&gt; Probability -&gt; Other</t>
        </is>
      </c>
      <c r="D72" s="2" t="n">
        <v>8.5</v>
      </c>
      <c r="E72" s="2" t="inlineStr">
        <is>
          <t>Is the following inequality true for independent zero mean random elements in a separable Hilbert space $\mathbb{H}$? Gi</t>
        </is>
      </c>
      <c r="F72" s="2" t="inlineStr">
        <is>
          <t>yes</t>
        </is>
      </c>
      <c r="G72" s="2" t="inlineStr">
        <is>
          <t>cites Type 2 property and Pinelis extension for sub-Gaussian bound</t>
        </is>
      </c>
      <c r="H72" s="2" t="inlineStr">
        <is>
          <t>yes</t>
        </is>
      </c>
      <c r="I72" s="2" t="inlineStr">
        <is>
          <t>invoked Type 2 property and Pinelis extension</t>
        </is>
      </c>
      <c r="J72" s="2" t="inlineStr">
        <is>
          <t>yes-&gt;yes</t>
        </is>
      </c>
    </row>
    <row r="73">
      <c r="A73" s="2" t="n">
        <v>496</v>
      </c>
      <c r="B73" s="2" t="inlineStr">
        <is>
          <t>q_8549</t>
        </is>
      </c>
      <c r="C73" s="2" t="inlineStr">
        <is>
          <t>Mathematics -&gt; Calculus -&gt; Integral Calculus -&gt; Techniques of Integration -&gt; Single-variable</t>
        </is>
      </c>
      <c r="D73" s="2" t="n">
        <v>7.5</v>
      </c>
      <c r="E73" s="2" t="inlineStr">
        <is>
          <t>Calculate the limit: \[ \lim_{n \to \infty } \frac{1}{n^2} \int_0^n \frac{ \sqrt{n^2-x^2} }{2+x^{-x}} \, dx \]</t>
        </is>
      </c>
      <c r="F73" s="2" t="inlineStr">
        <is>
          <t>yes</t>
        </is>
      </c>
      <c r="G73" s="2" t="inlineStr">
        <is>
          <t>substitutes x=nt, pointwise limit, DCT, quarter-circle area; algebra slip</t>
        </is>
      </c>
      <c r="H73" s="2" t="inlineStr">
        <is>
          <t>yes</t>
        </is>
      </c>
      <c r="I73" s="2" t="inlineStr">
        <is>
          <t>substitutes x=nt, pointwise limit, DCT, quarter-circle gives pi/8</t>
        </is>
      </c>
      <c r="J73" s="2" t="inlineStr">
        <is>
          <t>yes-&gt;yes</t>
        </is>
      </c>
    </row>
    <row r="74">
      <c r="A74" s="2" t="n">
        <v>501</v>
      </c>
      <c r="B74" s="2" t="inlineStr">
        <is>
          <t>q_40380</t>
        </is>
      </c>
      <c r="C74" s="2" t="inlineStr">
        <is>
          <t>Mathematics -&gt; Geometry -&gt; Differential Geometry -&gt; Manifolds</t>
        </is>
      </c>
      <c r="D74" s="2" t="n">
        <v>8.5</v>
      </c>
      <c r="E74" s="2" t="inlineStr">
        <is>
          <t>Determine whether there exists a non-trivial, connected, compact, orientable topological manifold with Euler characteris</t>
        </is>
      </c>
      <c r="F74" s="2" t="inlineStr">
        <is>
          <t>yes</t>
        </is>
      </c>
      <c r="G74" s="2" t="inlineStr">
        <is>
          <t>uses disk D^n with boundary, contractible, chi=1</t>
        </is>
      </c>
      <c r="H74" s="2" t="inlineStr">
        <is>
          <t>yes</t>
        </is>
      </c>
      <c r="I74" s="2" t="inlineStr">
        <is>
          <t>used disk D^n, boundary manifold, contractible chi=1</t>
        </is>
      </c>
      <c r="J74" s="2" t="inlineStr">
        <is>
          <t>yes-&gt;yes</t>
        </is>
      </c>
    </row>
    <row r="75">
      <c r="A75" s="2" t="n">
        <v>503</v>
      </c>
      <c r="B75" s="2" t="inlineStr">
        <is>
          <t>q_16200</t>
        </is>
      </c>
      <c r="C75" s="2" t="inlineStr">
        <is>
          <t>Mathematics -&gt; Geometry -&gt; Differential Geometry -&gt; Manifolds</t>
        </is>
      </c>
      <c r="D75" s="2" t="n">
        <v>9</v>
      </c>
      <c r="E75" s="2" t="inlineStr">
        <is>
          <t>Consider a connected Riemannian manifold $M$ with boundary. Define the "distance to boundary" function $d(p) = d(p, \par</t>
        </is>
      </c>
      <c r="F75" s="2" t="inlineStr">
        <is>
          <t>yes</t>
        </is>
      </c>
      <c r="G75" s="2" t="inlineStr">
        <is>
          <t>tubular neighborhood, cut locus, varying epsilon, corners caveat framework</t>
        </is>
      </c>
      <c r="H75" s="2" t="inlineStr">
        <is>
          <t>yes</t>
        </is>
      </c>
      <c r="I75" s="2" t="inlineStr">
        <is>
          <t>tubular neighborhood, cut locus disjointness, varying width neighborhood</t>
        </is>
      </c>
      <c r="J75" s="2" t="inlineStr">
        <is>
          <t>yes-&gt;yes</t>
        </is>
      </c>
    </row>
    <row r="76">
      <c r="A76" s="2" t="n">
        <v>509</v>
      </c>
      <c r="B76" s="2" t="inlineStr">
        <is>
          <t>q_71401</t>
        </is>
      </c>
      <c r="C76" s="2" t="inlineStr">
        <is>
          <t>Mathematics -&gt; Precalculus -&gt; Limits</t>
        </is>
      </c>
      <c r="D76" s="2" t="n">
        <v>5</v>
      </c>
      <c r="E76" s="2" t="inlineStr">
        <is>
          <t>Evaluate the limit \( \lim_{x \to 0} \left( \frac{\tan x}{x} \right)^{\frac{1}{1-\cos x}} \) without using L'Hopital's r</t>
        </is>
      </c>
      <c r="F76" s="2" t="inlineStr">
        <is>
          <t>yes</t>
        </is>
      </c>
      <c r="G76" s="2" t="inlineStr">
        <is>
          <t>1^infinity transform plus standard limits, exponent algebra botched</t>
        </is>
      </c>
      <c r="H76" s="2" t="inlineStr">
        <is>
          <t>yes</t>
        </is>
      </c>
      <c r="I76" s="2" t="inlineStr">
        <is>
          <t>used e^{(f-1)g} transform plus standard limits, got e^{2/3}</t>
        </is>
      </c>
      <c r="J76" s="2" t="inlineStr">
        <is>
          <t>yes-&gt;yes</t>
        </is>
      </c>
    </row>
    <row r="77">
      <c r="A77" s="2" t="n">
        <v>515</v>
      </c>
      <c r="B77" s="2" t="inlineStr">
        <is>
          <t>q_28335</t>
        </is>
      </c>
      <c r="C77" s="2" t="inlineStr">
        <is>
          <t>Mathematics -&gt; Calculus -&gt; Differential Calculus -&gt; Applications of Derivatives</t>
        </is>
      </c>
      <c r="D77" s="2" t="n">
        <v>4</v>
      </c>
      <c r="E77" s="2" t="inlineStr">
        <is>
          <t>Determine whether the sequence of functions \( f_n(x) = \left(x - \frac{1}{n}\right)^2 \) converges pointwise on the int</t>
        </is>
      </c>
      <c r="F77" s="2" t="inlineStr">
        <is>
          <t>yes</t>
        </is>
      </c>
      <c r="G77" s="2" t="inlineStr">
        <is>
          <t>fixed x, passed limit inside via continuity</t>
        </is>
      </c>
      <c r="H77" s="2" t="inlineStr">
        <is>
          <t>yes</t>
        </is>
      </c>
      <c r="I77" s="2" t="inlineStr">
        <is>
          <t>fixed x, limit passed inside by continuity, boundary checks</t>
        </is>
      </c>
      <c r="J77" s="2" t="inlineStr">
        <is>
          <t>yes-&gt;yes</t>
        </is>
      </c>
    </row>
    <row r="78">
      <c r="A78" s="2" t="n">
        <v>520</v>
      </c>
      <c r="B78" s="2" t="inlineStr">
        <is>
          <t>q_53865</t>
        </is>
      </c>
      <c r="C78" s="2" t="inlineStr">
        <is>
          <t>Mathematics -&gt; Calculus -&gt; Differential Calculus -&gt; Derivatives</t>
        </is>
      </c>
      <c r="D78" s="2" t="n">
        <v>6.5</v>
      </c>
      <c r="E78" s="2" t="inlineStr">
        <is>
          <t>Determine if the function \(g(x,y) = (x^2+y^2) \cos(1/\sqrt{x^2+y^2})\) is differentiable at the point \((0,0)\) using t</t>
        </is>
      </c>
      <c r="F78" s="2" t="inlineStr">
        <is>
          <t>unclear</t>
        </is>
      </c>
      <c r="G78" s="2" t="inlineStr">
        <is>
          <t>polar squeeze done; partials definition stated then abandoned, asserted</t>
        </is>
      </c>
      <c r="H78" s="2" t="inlineStr">
        <is>
          <t>yes</t>
        </is>
      </c>
      <c r="I78" s="2" t="inlineStr">
        <is>
          <t>formal differentiability definition, limit partials, squeeze theorem remainder</t>
        </is>
      </c>
      <c r="J78" s="2" t="inlineStr">
        <is>
          <t>unclear-&gt;yes</t>
        </is>
      </c>
    </row>
    <row r="79">
      <c r="A79" s="2" t="n">
        <v>524</v>
      </c>
      <c r="B79" s="2" t="inlineStr">
        <is>
          <t>q_7444</t>
        </is>
      </c>
      <c r="C79" s="2" t="inlineStr">
        <is>
          <t>Mathematics -&gt; Geometry -&gt; Plane Geometry -&gt; Triangulations</t>
        </is>
      </c>
      <c r="D79" s="2" t="n">
        <v>4.5</v>
      </c>
      <c r="E79" s="2" t="inlineStr">
        <is>
          <t xml:space="preserve">In a right triangle $ABC$ with $\angle A = 90^\circ$, the inradius is $r$. A cevian $AD$ is drawn such that the inradii </t>
        </is>
      </c>
      <c r="F79" s="2" t="inlineStr">
        <is>
          <t>yes</t>
        </is>
      </c>
      <c r="G79" s="2" t="inlineStr">
        <is>
          <t>symmetry assumption, coordinate placement, r=Area/s formula</t>
        </is>
      </c>
      <c r="H79" s="2" t="inlineStr">
        <is>
          <t>yes</t>
        </is>
      </c>
      <c r="I79" s="2" t="inlineStr">
        <is>
          <t>symmetry assumption, coordinates, Area/s inradii, invariance 1/AD pattern</t>
        </is>
      </c>
      <c r="J79" s="2" t="inlineStr">
        <is>
          <t>yes-&gt;yes</t>
        </is>
      </c>
    </row>
    <row r="80">
      <c r="A80" s="2" t="n">
        <v>534</v>
      </c>
      <c r="B80" s="2" t="inlineStr">
        <is>
          <t>q_47349</t>
        </is>
      </c>
      <c r="C80" s="2" t="inlineStr">
        <is>
          <t>Mathematics -&gt; Calculus -&gt; Integral Calculus -&gt; Techniques of Integration -&gt; Single-variable</t>
        </is>
      </c>
      <c r="D80" s="2" t="n">
        <v>5</v>
      </c>
      <c r="E80" s="2" t="inlineStr">
        <is>
          <t>Evaluate the infinite series: $$\sum_{n=1}^{\infty} \dfrac{1}{(3n-2)(3n+4)}.$$</t>
        </is>
      </c>
      <c r="F80" s="2" t="inlineStr">
        <is>
          <t>yes</t>
        </is>
      </c>
      <c r="G80" s="2" t="inlineStr">
        <is>
          <t>partial fractions then telescoping cancellation, though botched</t>
        </is>
      </c>
      <c r="H80" s="2" t="inlineStr">
        <is>
          <t>yes</t>
        </is>
      </c>
      <c r="I80" s="2" t="inlineStr">
        <is>
          <t>partial fractions, telescoping with offset-2 surviving terms</t>
        </is>
      </c>
      <c r="J80" s="2" t="inlineStr">
        <is>
          <t>yes-&gt;yes</t>
        </is>
      </c>
    </row>
    <row r="81">
      <c r="A81" s="2" t="n">
        <v>536</v>
      </c>
      <c r="B81" s="2" t="inlineStr">
        <is>
          <t>q_12851</t>
        </is>
      </c>
      <c r="C81" s="2" t="inlineStr">
        <is>
          <t>Mathematics -&gt; Algebra -&gt; Abstract Algebra -&gt; Group Theory</t>
        </is>
      </c>
      <c r="D81" s="2" t="n">
        <v>8</v>
      </c>
      <c r="E81" s="2" t="inlineStr">
        <is>
          <t>Consider a sequence of compact metrizable groups $(G_n, \mu_n)$, where each $\mu_n$ is a probability (right-invariant) H</t>
        </is>
      </c>
      <c r="F81" s="2" t="inlineStr">
        <is>
          <t>yes</t>
        </is>
      </c>
      <c r="G81" s="2" t="inlineStr">
        <is>
          <t>Tychonoff compactness, unimodularity, marginals plus Kolmogorov uniqueness</t>
        </is>
      </c>
      <c r="H81" s="2" t="inlineStr">
        <is>
          <t>yes</t>
        </is>
      </c>
      <c r="I81" s="2" t="inlineStr">
        <is>
          <t>Tychonoff, unimodularity, finite marginals via Kolmogorov extension uniqueness</t>
        </is>
      </c>
      <c r="J81" s="2" t="inlineStr">
        <is>
          <t>yes-&gt;yes</t>
        </is>
      </c>
    </row>
    <row r="82">
      <c r="A82" s="2" t="n">
        <v>540</v>
      </c>
      <c r="B82" s="2" t="inlineStr">
        <is>
          <t>q_58147</t>
        </is>
      </c>
      <c r="C82" s="2" t="inlineStr">
        <is>
          <t>Mathematics -&gt; Precalculus -&gt; Limits</t>
        </is>
      </c>
      <c r="D82" s="2" t="n">
        <v>6</v>
      </c>
      <c r="E82" s="2" t="inlineStr">
        <is>
          <t>Evaluate the limit: $$\lim_{x \to \infty}\ln{\frac{x+\sqrt{x^2+1}}{x+\sqrt{x^2-1}}}\cdot \left(\ln{\frac{x+1}{x-1}}\righ</t>
        </is>
      </c>
      <c r="F82" s="2" t="inlineStr">
        <is>
          <t>yes</t>
        </is>
      </c>
      <c r="G82" s="2" t="inlineStr">
        <is>
          <t>reciprocal substitution t=1/x with sqrt and log linearizations</t>
        </is>
      </c>
      <c r="H82" s="2" t="inlineStr">
        <is>
          <t>yes</t>
        </is>
      </c>
      <c r="I82" s="2" t="inlineStr">
        <is>
          <t>t=1/x substitution, sqrt and log linearizations, leading-order comparison</t>
        </is>
      </c>
      <c r="J82" s="2" t="inlineStr">
        <is>
          <t>yes-&gt;yes</t>
        </is>
      </c>
    </row>
    <row r="83">
      <c r="A83" s="2" t="n">
        <v>541</v>
      </c>
      <c r="B83" s="2" t="inlineStr">
        <is>
          <t>q_67021</t>
        </is>
      </c>
      <c r="C83" s="2" t="inlineStr">
        <is>
          <t>Mathematics -&gt; Discrete Mathematics -&gt; Combinatorics</t>
        </is>
      </c>
      <c r="D83" s="2" t="n">
        <v>7</v>
      </c>
      <c r="E83" s="2" t="inlineStr">
        <is>
          <t>Find a path with a maximum length of $2n+2$ that passes through $n^2$ points inside a unit square, where the path can be</t>
        </is>
      </c>
      <c r="F83" s="2" t="inlineStr">
        <is>
          <t>yes</t>
        </is>
      </c>
      <c r="G83" s="2" t="inlineStr">
        <is>
          <t>strip partitioning, monotone sorting, serpentine traversal, dimension-wise bound</t>
        </is>
      </c>
      <c r="H83" s="2" t="inlineStr">
        <is>
          <t>yes</t>
        </is>
      </c>
      <c r="I83" s="2" t="inlineStr">
        <is>
          <t>strip partition, y-sorted strips, serpentine traversal, dimension-wise bound</t>
        </is>
      </c>
      <c r="J83" s="2" t="inlineStr">
        <is>
          <t>yes-&gt;yes</t>
        </is>
      </c>
    </row>
    <row r="84">
      <c r="A84" s="2" t="n">
        <v>570</v>
      </c>
      <c r="B84" s="2" t="inlineStr">
        <is>
          <t>q_89732</t>
        </is>
      </c>
      <c r="C84" s="2" t="inlineStr">
        <is>
          <t>Mathematics -&gt; Geometry -&gt; Plane Geometry -&gt; Triangulations</t>
        </is>
      </c>
      <c r="D84" s="2" t="n">
        <v>7</v>
      </c>
      <c r="E84" s="2" t="inlineStr">
        <is>
          <t>In triangle $ABC$, the incenter is $I$. Let $M_b$ and $M_a$ be the midpoints of $AC$ and $BC$, respectively. Define $B'$</t>
        </is>
      </c>
      <c r="F84" s="2" t="inlineStr">
        <is>
          <t>unclear</t>
        </is>
      </c>
      <c r="G84" s="2" t="inlineStr">
        <is>
          <t>states side-ratio equation but derivation steps only outlined, answer asserted</t>
        </is>
      </c>
      <c r="H84" s="2" t="inlineStr">
        <is>
          <t>unclear</t>
        </is>
      </c>
      <c r="I84" s="2" t="inlineStr">
        <is>
          <t>sets up area-ratio and barycentric framework, asserts answer without derivation</t>
        </is>
      </c>
      <c r="J84" s="2" t="inlineStr">
        <is>
          <t>unclear-&gt;unclear</t>
        </is>
      </c>
    </row>
    <row r="85">
      <c r="A85" s="2" t="n">
        <v>577</v>
      </c>
      <c r="B85" s="2" t="inlineStr">
        <is>
          <t>q_102370</t>
        </is>
      </c>
      <c r="C85" s="2" t="inlineStr">
        <is>
          <t>Mathematics -&gt; Precalculus -&gt; Trigonometric Functions</t>
        </is>
      </c>
      <c r="D85" s="2" t="n">
        <v>4</v>
      </c>
      <c r="E85" s="2" t="inlineStr">
        <is>
          <t>Find the minimum value of \[\frac{\sin^6 x + \cos^6 x + 1}{\sin^4 x + \cos^4 x + 1}\]over all real values $x.$</t>
        </is>
      </c>
      <c r="F85" s="2" t="inlineStr">
        <is>
          <t>yes</t>
        </is>
      </c>
      <c r="G85" s="2" t="inlineStr">
        <is>
          <t>substituted u=sin^2x, reduced to rational function, evaluated u=1/2</t>
        </is>
      </c>
      <c r="H85" s="2" t="inlineStr">
        <is>
          <t>yes</t>
        </is>
      </c>
      <c r="I85" s="2" t="inlineStr">
        <is>
          <t>u=sin^2x substitution, shared quadratic q(u), midpoint extremum</t>
        </is>
      </c>
      <c r="J85" s="2" t="inlineStr">
        <is>
          <t>yes-&gt;yes</t>
        </is>
      </c>
    </row>
    <row r="86">
      <c r="A86" s="2" t="n">
        <v>583</v>
      </c>
      <c r="B86" s="2" t="inlineStr">
        <is>
          <t>q_64376</t>
        </is>
      </c>
      <c r="C86" s="2" t="inlineStr">
        <is>
          <t>Mathematics -&gt; Calculus -&gt; Integral Calculus -&gt; Applications of Integrals</t>
        </is>
      </c>
      <c r="D86" s="2" t="n">
        <v>7.5</v>
      </c>
      <c r="E86" s="2" t="inlineStr">
        <is>
          <t xml:space="preserve">Calculate the rate of heat flow inward across the cylindrical surface defined by \( y^2 + z^2 = 324 \) and \( -10 \le x </t>
        </is>
      </c>
      <c r="F86" s="2" t="inlineStr">
        <is>
          <t>yes</t>
        </is>
      </c>
      <c r="G86" s="2" t="inlineStr">
        <is>
          <t>parameterized cylinder, radial gradient constant, direct surface integral</t>
        </is>
      </c>
      <c r="H86" s="2" t="inlineStr">
        <is>
          <t>yes</t>
        </is>
      </c>
      <c r="I86" s="2" t="inlineStr">
        <is>
          <t>cylindrical parameterization, radial gradient constant, inward sign flip</t>
        </is>
      </c>
      <c r="J86" s="2" t="inlineStr">
        <is>
          <t>yes-&gt;yes</t>
        </is>
      </c>
    </row>
    <row r="87">
      <c r="A87" s="2" t="n">
        <v>601</v>
      </c>
      <c r="B87" s="2" t="inlineStr">
        <is>
          <t>q_100246</t>
        </is>
      </c>
      <c r="C87" s="2" t="inlineStr">
        <is>
          <t>Mathematics -&gt; Geometry -&gt; Plane Geometry -&gt; Polygons</t>
        </is>
      </c>
      <c r="D87" s="2" t="n">
        <v>3</v>
      </c>
      <c r="E87" s="2" t="inlineStr">
        <is>
          <t>A certain ellipse is tangent to both the $x$-axis and the $y$-axis, and its foci are at $(2, -3 + \sqrt{5})$ and $(2, -3</t>
        </is>
      </c>
      <c r="F87" s="2" t="inlineStr">
        <is>
          <t>yes</t>
        </is>
      </c>
      <c r="G87" s="2" t="inlineStr">
        <is>
          <t>midpoint center, c from foci, tangency semi-axis, a^2=b^2+c^2</t>
        </is>
      </c>
      <c r="H87" s="2" t="inlineStr">
        <is>
          <t>yes</t>
        </is>
      </c>
      <c r="I87" s="2" t="inlineStr">
        <is>
          <t>midpoint center, tangency distances, a²=b²+c² consistency check</t>
        </is>
      </c>
      <c r="J87" s="2" t="inlineStr">
        <is>
          <t>yes-&gt;yes</t>
        </is>
      </c>
    </row>
    <row r="88">
      <c r="A88" s="2" t="n">
        <v>606</v>
      </c>
      <c r="B88" s="2" t="inlineStr">
        <is>
          <t>q_67892</t>
        </is>
      </c>
      <c r="C88" s="2" t="inlineStr">
        <is>
          <t>Mathematics -&gt; Applied Mathematics -&gt; Statistics -&gt; Probability -&gt; Other</t>
        </is>
      </c>
      <c r="D88" s="2" t="n">
        <v>6</v>
      </c>
      <c r="E88" s="2" t="inlineStr">
        <is>
          <t>Given the probability density function $f(x) = ax\sin(x)e^{-x}$ for $0 &lt; x &lt; \infty$, where $f(x) = 0$ otherwise, and th</t>
        </is>
      </c>
      <c r="F88" s="2" t="inlineStr">
        <is>
          <t>yes</t>
        </is>
      </c>
      <c r="G88" s="2" t="inlineStr">
        <is>
          <t>complexification with Laplace identity n!/p^(n+1) for both moments</t>
        </is>
      </c>
      <c r="H88" s="2" t="inlineStr">
        <is>
          <t>yes</t>
        </is>
      </c>
      <c r="I88" s="2" t="inlineStr">
        <is>
          <t>complexification e^{ix}, Laplace identity n!/p^{n+1}</t>
        </is>
      </c>
      <c r="J88" s="2" t="inlineStr">
        <is>
          <t>yes-&gt;yes</t>
        </is>
      </c>
    </row>
    <row r="89">
      <c r="A89" s="2" t="n">
        <v>617</v>
      </c>
      <c r="B89" s="2" t="inlineStr">
        <is>
          <t>q_93581</t>
        </is>
      </c>
      <c r="C89" s="2" t="inlineStr">
        <is>
          <t>Mathematics -&gt; Algebra -&gt; Intermediate Algebra -&gt; Other</t>
        </is>
      </c>
      <c r="D89" s="2" t="n">
        <v>6.5</v>
      </c>
      <c r="E89" s="2" t="inlineStr">
        <is>
          <t>Given the sequence \( x_{1}, x_{2}, \cdots, x_{1993} \) which satisfies \( \left| x_{1} - x_{2} \right| + \left| x_{2} -</t>
        </is>
      </c>
      <c r="F89" s="2" t="inlineStr">
        <is>
          <t>yes</t>
        </is>
      </c>
      <c r="G89" s="2" t="inlineStr">
        <is>
          <t>derives average-difference identity, monotone assumption, concentrates budget on d1</t>
        </is>
      </c>
      <c r="H89" s="2" t="inlineStr">
        <is>
          <t>yes</t>
        </is>
      </c>
      <c r="I89" s="2" t="inlineStr">
        <is>
          <t>small-n coefficient pattern (1-i/n)d_i, budget on largest weight</t>
        </is>
      </c>
      <c r="J89" s="2" t="inlineStr">
        <is>
          <t>yes-&gt;yes</t>
        </is>
      </c>
    </row>
    <row r="90">
      <c r="A90" s="2" t="n">
        <v>627</v>
      </c>
      <c r="B90" s="2" t="inlineStr">
        <is>
          <t>q_74209</t>
        </is>
      </c>
      <c r="C90" s="2" t="inlineStr">
        <is>
          <t>Mathematics -&gt; Discrete Mathematics -&gt; Logic</t>
        </is>
      </c>
      <c r="D90" s="2" t="n">
        <v>7</v>
      </c>
      <c r="E90" s="2" t="inlineStr">
        <is>
          <t>Consider the space $X$ which is $\\mathbb{R}\\$ endowed with the right topology generated by \\Gamma=\\{(a,\\infty):a\\i</t>
        </is>
      </c>
      <c r="F90" s="2" t="inlineStr">
        <is>
          <t>yes</t>
        </is>
      </c>
      <c r="G90" s="2" t="inlineStr">
        <is>
          <t>escaping sequence, tail limit points, countable subcover per card</t>
        </is>
      </c>
      <c r="H90" s="2" t="inlineStr">
        <is>
          <t>yes</t>
        </is>
      </c>
      <c r="I90" s="2" t="inlineStr">
        <is>
          <t>escaping sequence -n, tail limit points, separability for Lindelof</t>
        </is>
      </c>
      <c r="J90" s="2" t="inlineStr">
        <is>
          <t>yes-&gt;yes</t>
        </is>
      </c>
    </row>
    <row r="91">
      <c r="A91" s="2" t="n">
        <v>632</v>
      </c>
      <c r="B91" s="2" t="inlineStr">
        <is>
          <t>q_25206</t>
        </is>
      </c>
      <c r="C91" s="2" t="inlineStr">
        <is>
          <t>Mathematics -&gt; Calculus -&gt; Integral Calculus -&gt; Techniques of Integration -&gt; Single-variable</t>
        </is>
      </c>
      <c r="D91" s="2" t="n">
        <v>5.5</v>
      </c>
      <c r="E91" s="2" t="inlineStr">
        <is>
          <t xml:space="preserve">Evaluate the integral \( \int^1_0 e^{-x^2} \, dx \) correct to three decimal places using the power series expansion of </t>
        </is>
      </c>
      <c r="F91" s="2" t="inlineStr">
        <is>
          <t>yes</t>
        </is>
      </c>
      <c r="G91" s="2" t="inlineStr">
        <is>
          <t>Maclaurin series, term-by-term integration, alternating-series stopping rule</t>
        </is>
      </c>
      <c r="H91" s="2" t="inlineStr">
        <is>
          <t>yes</t>
        </is>
      </c>
      <c r="I91" s="2" t="inlineStr">
        <is>
          <t>Maclaurin substitution, term-by-term integration, alternating-series stopping rule</t>
        </is>
      </c>
      <c r="J91" s="2" t="inlineStr">
        <is>
          <t>yes-&gt;yes</t>
        </is>
      </c>
    </row>
    <row r="92">
      <c r="A92" s="2" t="n">
        <v>648</v>
      </c>
      <c r="B92" s="2" t="inlineStr">
        <is>
          <t>q_65746</t>
        </is>
      </c>
      <c r="C92" s="2" t="inlineStr">
        <is>
          <t>Mathematics -&gt; Calculus -&gt; Integral Calculus -&gt; Techniques of Integration -&gt; Multi-variable</t>
        </is>
      </c>
      <c r="D92" s="2" t="n">
        <v>7</v>
      </c>
      <c r="E92" s="2" t="inlineStr">
        <is>
          <t>Given the vector field $\mathbf{F}: \mathbb{R}^2 \setminus\{(0,0)\} \to \mathbb{R}^2$ defined by $\mathbf{F}(x,y) = \fra</t>
        </is>
      </c>
      <c r="F92" s="2" t="inlineStr">
        <is>
          <t>yes</t>
        </is>
      </c>
      <c r="G92" s="2" t="inlineStr">
        <is>
          <t>maps field to -dθ, checks orientation via velocity, winding numbers</t>
        </is>
      </c>
      <c r="H92" s="2" t="inlineStr">
        <is>
          <t>yes</t>
        </is>
      </c>
      <c r="I92" s="2" t="inlineStr">
        <is>
          <t>recognized -d theta, winding numbers via orientation at t=0</t>
        </is>
      </c>
      <c r="J92" s="2" t="inlineStr">
        <is>
          <t>yes-&gt;yes</t>
        </is>
      </c>
    </row>
    <row r="93">
      <c r="A93" s="2" t="n">
        <v>652</v>
      </c>
      <c r="B93" s="2" t="inlineStr">
        <is>
          <t>q_77330</t>
        </is>
      </c>
      <c r="C93" s="2" t="inlineStr">
        <is>
          <t>Mathematics -&gt; Calculus -&gt; Differential Calculus -&gt; Applications of Derivatives</t>
        </is>
      </c>
      <c r="D93" s="2" t="n">
        <v>7</v>
      </c>
      <c r="E93" s="2" t="inlineStr">
        <is>
          <t>Given a function $f:[0,\infty) \to [0,\infty)$ such that $|f(x) - f(y)| \le \frac{1}{2}|x - y|$, determine whether $f$ a</t>
        </is>
      </c>
      <c r="F93" s="2" t="inlineStr">
        <is>
          <t>yes</t>
        </is>
      </c>
      <c r="G93" s="2" t="inlineStr">
        <is>
          <t>Banach contraction framework with Picard iteration and completeness check</t>
        </is>
      </c>
      <c r="H93" s="2" t="inlineStr">
        <is>
          <t>yes</t>
        </is>
      </c>
      <c r="I93" s="2" t="inlineStr">
        <is>
          <t>verified completeness and contraction, applied Banach fixed point theorem</t>
        </is>
      </c>
      <c r="J93" s="2" t="inlineStr">
        <is>
          <t>yes-&gt;yes</t>
        </is>
      </c>
    </row>
    <row r="94">
      <c r="A94" s="2" t="n">
        <v>662</v>
      </c>
      <c r="B94" s="2" t="inlineStr">
        <is>
          <t>q_37853</t>
        </is>
      </c>
      <c r="C94" s="2" t="inlineStr">
        <is>
          <t>Mathematics -&gt; Geometry -&gt; Differential Geometry -&gt; Other</t>
        </is>
      </c>
      <c r="D94" s="2" t="n">
        <v>7.5</v>
      </c>
      <c r="E94" s="2" t="inlineStr">
        <is>
          <t>Let $X$ be a locally compact, Hausdorff space and $Y = X \cup \{\infty\}$ its one-point compactification. If $K$ is a co</t>
        </is>
      </c>
      <c r="F94" s="2" t="inlineStr">
        <is>
          <t>yes</t>
        </is>
      </c>
      <c r="G94" s="2" t="inlineStr">
        <is>
          <t>density of X, (X\K)∪{∞} neighborhood form, non-compactness argument</t>
        </is>
      </c>
      <c r="H94" s="2" t="inlineStr">
        <is>
          <t>yes</t>
        </is>
      </c>
      <c r="I94" s="2" t="inlineStr">
        <is>
          <t>invokes density and (X\K)∪{∞} neighborhood form with non-compact X</t>
        </is>
      </c>
      <c r="J94" s="2" t="inlineStr">
        <is>
          <t>yes-&gt;yes</t>
        </is>
      </c>
    </row>
    <row r="95">
      <c r="A95" s="2" t="n">
        <v>665</v>
      </c>
      <c r="B95" s="2" t="inlineStr">
        <is>
          <t>q_57793</t>
        </is>
      </c>
      <c r="C95" s="2" t="inlineStr">
        <is>
          <t>Mathematics -&gt; Calculus -&gt; Integral Calculus -&gt; Techniques of Integration -&gt; Single-variable</t>
        </is>
      </c>
      <c r="D95" s="2" t="n">
        <v>6</v>
      </c>
      <c r="E95" s="2" t="inlineStr">
        <is>
          <t>Evaluate the infinite series: $$\sum_{k=1}^\infty\frac{k(k+1)(k+2)}{3!}\left(\frac{1}{3}\right)^k$$</t>
        </is>
      </c>
      <c r="F95" s="2" t="inlineStr">
        <is>
          <t>yes</t>
        </is>
      </c>
      <c r="G95" s="2" t="inlineStr">
        <is>
          <t>binomial coefficient conversion, negative binomial generating function</t>
        </is>
      </c>
      <c r="H95" s="2" t="inlineStr">
        <is>
          <t>yes</t>
        </is>
      </c>
      <c r="I95" s="2" t="inlineStr">
        <is>
          <t>binomial coefficient, index shift, generating function identity</t>
        </is>
      </c>
      <c r="J95" s="2" t="inlineStr">
        <is>
          <t>yes-&gt;yes</t>
        </is>
      </c>
    </row>
    <row r="96">
      <c r="A96" s="2" t="n">
        <v>683</v>
      </c>
      <c r="B96" s="2" t="inlineStr">
        <is>
          <t>q_90897</t>
        </is>
      </c>
      <c r="C96" s="2" t="inlineStr">
        <is>
          <t>Mathematics -&gt; Discrete Mathematics -&gt; Combinatorics</t>
        </is>
      </c>
      <c r="D96" s="2" t="n">
        <v>7.5</v>
      </c>
      <c r="E96" s="2" t="inlineStr">
        <is>
          <t>Find the minimum number of hyperplanes whose union contains the set \( S = \{(x_1, x_2, \ldots, x_k) \mid x_1, x_2, \ldo</t>
        </is>
      </c>
      <c r="F96" s="2" t="inlineStr">
        <is>
          <t>yes</t>
        </is>
      </c>
      <c r="G96" s="2" t="inlineStr">
        <is>
          <t>Alon-Furedi theorem, axis-aligned construction, kn degree bound</t>
        </is>
      </c>
      <c r="H96" s="2" t="inlineStr">
        <is>
          <t>yes</t>
        </is>
      </c>
      <c r="I96" s="2" t="inlineStr">
        <is>
          <t>invokes Alon-Furedi kn, polynomial degree bound, axis-aligned construction</t>
        </is>
      </c>
      <c r="J96" s="2" t="inlineStr">
        <is>
          <t>yes-&gt;yes</t>
        </is>
      </c>
    </row>
    <row r="97">
      <c r="A97" s="2" t="n">
        <v>694</v>
      </c>
      <c r="B97" s="2" t="inlineStr">
        <is>
          <t>q_102710</t>
        </is>
      </c>
      <c r="C97" s="2" t="inlineStr">
        <is>
          <t>Mathematics -&gt; Applied Mathematics -&gt; Statistics -&gt; Probability -&gt; Other</t>
        </is>
      </c>
      <c r="D97" s="2" t="n">
        <v>4</v>
      </c>
      <c r="E97" s="2" t="inlineStr">
        <is>
          <t>Two cards are chosen at random from a standard 52-card deck.  What is the probability that the first card is a heart and</t>
        </is>
      </c>
      <c r="F97" s="2" t="inlineStr">
        <is>
          <t>yes</t>
        </is>
      </c>
      <c r="G97" s="2" t="inlineStr">
        <is>
          <t>partitions first draw into 10-of-hearts vs other-heart cases</t>
        </is>
      </c>
      <c r="H97" s="2" t="inlineStr">
        <is>
          <t>yes</t>
        </is>
      </c>
      <c r="I97" s="2" t="inlineStr">
        <is>
          <t>partitioned first draw into 10-of-hearts vs other-heart cases</t>
        </is>
      </c>
      <c r="J97" s="2" t="inlineStr">
        <is>
          <t>yes-&gt;yes</t>
        </is>
      </c>
    </row>
    <row r="98">
      <c r="A98" s="2" t="n">
        <v>697</v>
      </c>
      <c r="B98" s="2" t="inlineStr">
        <is>
          <t>q_23739</t>
        </is>
      </c>
      <c r="C98" s="2" t="inlineStr">
        <is>
          <t>Mathematics -&gt; Calculus -&gt; Integral Calculus -&gt; Applications of Integrals</t>
        </is>
      </c>
      <c r="D98" s="2" t="n">
        <v>8</v>
      </c>
      <c r="E98" s="2" t="inlineStr">
        <is>
          <t xml:space="preserve">Find the maximum value of the line integral \( \int_{C} (4x^2y+y^3)dx+(x^3+4x-xy^2)dy \) among all smooth simple closed </t>
        </is>
      </c>
      <c r="F98" s="2" t="inlineStr">
        <is>
          <t>yes</t>
        </is>
      </c>
      <c r="G98" s="2" t="inlineStr">
        <is>
          <t>Green's theorem, positive-integrand ellipse region, Jacobian, polar coordinates</t>
        </is>
      </c>
      <c r="H98" s="2" t="inlineStr">
        <is>
          <t>yes</t>
        </is>
      </c>
      <c r="I98" s="2" t="inlineStr">
        <is>
          <t>Green's theorem, positive-integrand ellipse, unit-circle transform, Jacobian</t>
        </is>
      </c>
      <c r="J98" s="2" t="inlineStr">
        <is>
          <t>yes-&gt;yes</t>
        </is>
      </c>
    </row>
    <row r="99">
      <c r="A99" s="2" t="n">
        <v>708</v>
      </c>
      <c r="B99" s="2" t="inlineStr">
        <is>
          <t>q_49519</t>
        </is>
      </c>
      <c r="C99" s="2" t="inlineStr">
        <is>
          <t>Mathematics -&gt; Geometry -&gt; Plane Geometry -&gt; Triangulations</t>
        </is>
      </c>
      <c r="D99" s="2" t="n">
        <v>4</v>
      </c>
      <c r="E99" s="2" t="inlineStr">
        <is>
          <t>In triangle $ABC$, point $E$ is on side $BC$ such that $BE:EC = 3:2$. Points $D$ and $F$ are on sides $AB$ and $AC$, res</t>
        </is>
      </c>
      <c r="F99" s="2" t="inlineStr">
        <is>
          <t>unclear</t>
        </is>
      </c>
      <c r="G99" s="2" t="inlineStr">
        <is>
          <t>starts coordinates and section formula; derivation collapses, answer unconnected</t>
        </is>
      </c>
      <c r="H99" s="2" t="inlineStr">
        <is>
          <t>yes</t>
        </is>
      </c>
      <c r="I99" s="2" t="inlineStr">
        <is>
          <t>coordinates, section formula, AD=2x/AF=3x, parametric intersection</t>
        </is>
      </c>
      <c r="J99" s="2" t="inlineStr">
        <is>
          <t>unclear-&gt;yes</t>
        </is>
      </c>
    </row>
    <row r="100">
      <c r="A100" s="2" t="n">
        <v>712</v>
      </c>
      <c r="B100" s="2" t="inlineStr">
        <is>
          <t>q_95037</t>
        </is>
      </c>
      <c r="C100" s="2" t="inlineStr">
        <is>
          <t>Mathematics -&gt; Algebra -&gt; Algebra -&gt; Polynomial Operations</t>
        </is>
      </c>
      <c r="D100" s="2" t="n">
        <v>4</v>
      </c>
      <c r="E100" s="2" t="inlineStr">
        <is>
          <t xml:space="preserve">Find constants $A,$ $B,$ $C,$ and $D$ so that \[\frac{x^3 + 3x^2 - 12x + 36}{x^4 - 16} = \frac{A}{x - 2} + \frac{B}{x + </t>
        </is>
      </c>
      <c r="F100" s="2" t="inlineStr">
        <is>
          <t>yes</t>
        </is>
      </c>
      <c r="G100" s="2" t="inlineStr">
        <is>
          <t>factored denominator, coefficient matching plus Heaviside cover-up substitution</t>
        </is>
      </c>
      <c r="H100" s="2" t="inlineStr">
        <is>
          <t>yes</t>
        </is>
      </c>
      <c r="I100" s="2" t="inlineStr">
        <is>
          <t>factored denominator, coefficient matching, symmetry-pair addition of equations</t>
        </is>
      </c>
      <c r="J100" s="2" t="inlineStr">
        <is>
          <t>yes-&gt;yes</t>
        </is>
      </c>
    </row>
    <row r="101">
      <c r="A101" s="2" t="n">
        <v>737</v>
      </c>
      <c r="B101" s="2" t="inlineStr">
        <is>
          <t>q_50259</t>
        </is>
      </c>
      <c r="C101" s="2" t="inlineStr">
        <is>
          <t>Mathematics -&gt; Calculus -&gt; Integral Calculus -&gt; Applications of Integrals</t>
        </is>
      </c>
      <c r="D101" s="2" t="n">
        <v>8</v>
      </c>
      <c r="E101" s="2" t="inlineStr">
        <is>
          <t>Compute the flux of \( \nabla \times G \) exiting from the surface \( S = \{(x,y,z): x^2+y^2+z^2 = 4, x^2+y^2 \leq 2, z&gt;</t>
        </is>
      </c>
      <c r="F101" s="2" t="inlineStr">
        <is>
          <t>yes</t>
        </is>
      </c>
      <c r="G101" s="2" t="inlineStr">
        <is>
          <t>Stokes theorem, boundary circle z=sqrt2, line integral</t>
        </is>
      </c>
      <c r="H101" s="2" t="inlineStr">
        <is>
          <t>yes</t>
        </is>
      </c>
      <c r="I101" s="2" t="inlineStr">
        <is>
          <t>Stokes' theorem, boundary circle parametrization, line integral with zero-terms</t>
        </is>
      </c>
      <c r="J101" s="2" t="inlineStr">
        <is>
          <t>yes-&gt;yes</t>
        </is>
      </c>
    </row>
    <row r="102">
      <c r="A102" s="2" t="n">
        <v>750</v>
      </c>
      <c r="B102" s="2" t="inlineStr">
        <is>
          <t>q_34933</t>
        </is>
      </c>
      <c r="C102" s="2" t="inlineStr">
        <is>
          <t>Mathematics -&gt; Other</t>
        </is>
      </c>
      <c r="D102" s="2" t="n">
        <v>8</v>
      </c>
      <c r="E102" s="2" t="inlineStr">
        <is>
          <t>In Euclidean space, determine whether there exists an open but not closed subset \( X \) and a bounded but not open subs</t>
        </is>
      </c>
      <c r="F102" s="2" t="inlineStr">
        <is>
          <t>yes</t>
        </is>
      </c>
      <c r="G102" s="2" t="inlineStr">
        <is>
          <t>embedded (0,1) into R^2 via dimension mismatch example</t>
        </is>
      </c>
      <c r="H102" s="2" t="inlineStr">
        <is>
          <t>yes</t>
        </is>
      </c>
      <c r="I102" s="2" t="inlineStr">
        <is>
          <t>dimension-mismatch embedding of interval from R1 into R2</t>
        </is>
      </c>
      <c r="J102" s="2" t="inlineStr">
        <is>
          <t>yes-&gt;yes</t>
        </is>
      </c>
    </row>
    <row r="103">
      <c r="A103" s="2" t="n">
        <v>762</v>
      </c>
      <c r="B103" s="2" t="inlineStr">
        <is>
          <t>q_48971</t>
        </is>
      </c>
      <c r="C103" s="2" t="inlineStr">
        <is>
          <t>Mathematics -&gt; Calculus -&gt; Integral Calculus -&gt; Applications of Integrals</t>
        </is>
      </c>
      <c r="D103" s="2" t="n">
        <v>8</v>
      </c>
      <c r="E103" s="2" t="inlineStr">
        <is>
          <t>Consider a metric space $(M,d)$ and a function $f: M \rightarrow \mathbb{R}$. If $f$ is $K$-Lipschitz, determine whether</t>
        </is>
      </c>
      <c r="F103" s="2" t="inlineStr">
        <is>
          <t>yes</t>
        </is>
      </c>
      <c r="G103" s="2" t="inlineStr">
        <is>
          <t>Wasserstein-1 with Kantorovich-Rubinstein duality, f/K normalization</t>
        </is>
      </c>
      <c r="H103" s="2" t="inlineStr">
        <is>
          <t>yes</t>
        </is>
      </c>
      <c r="I103" s="2" t="inlineStr">
        <is>
          <t>Wasserstein-1 metric, Kantorovich-Rubinstein duality, f/K normalization</t>
        </is>
      </c>
      <c r="J103" s="2" t="inlineStr">
        <is>
          <t>yes-&gt;yes</t>
        </is>
      </c>
    </row>
    <row r="104">
      <c r="A104" s="2" t="n">
        <v>769</v>
      </c>
      <c r="B104" s="2" t="inlineStr">
        <is>
          <t>q_64816</t>
        </is>
      </c>
      <c r="C104" s="2" t="inlineStr">
        <is>
          <t>Mathematics -&gt; Calculus -&gt; Integral Calculus -&gt; Techniques of Integration -&gt; Single-variable</t>
        </is>
      </c>
      <c r="D104" s="2" t="n">
        <v>5</v>
      </c>
      <c r="E104" s="2" t="inlineStr">
        <is>
          <t>Evaluate the integral \( \int_{0}^{1}\frac{x}{x^2+(1-x)^2}\,dx \).</t>
        </is>
      </c>
      <c r="F104" s="2" t="inlineStr">
        <is>
          <t>yes</t>
        </is>
      </c>
      <c r="G104" s="2" t="inlineStr">
        <is>
          <t>centered u=x-1/2, odd term vanishes, arctan integral</t>
        </is>
      </c>
      <c r="H104" s="2" t="inlineStr">
        <is>
          <t>yes</t>
        </is>
      </c>
      <c r="I104" s="2" t="inlineStr">
        <is>
          <t>centering substitution u=x-1/2, parity elimination, arctan evaluation</t>
        </is>
      </c>
      <c r="J104" s="2" t="inlineStr">
        <is>
          <t>yes-&gt;yes</t>
        </is>
      </c>
    </row>
    <row r="105">
      <c r="A105" s="2" t="n">
        <v>772</v>
      </c>
      <c r="B105" s="2" t="inlineStr">
        <is>
          <t>q_59046</t>
        </is>
      </c>
      <c r="C105" s="2" t="inlineStr">
        <is>
          <t>Mathematics -&gt; Discrete Mathematics -&gt; Graph Theory</t>
        </is>
      </c>
      <c r="D105" s="2" t="n">
        <v>8</v>
      </c>
      <c r="E105" s="2" t="inlineStr">
        <is>
          <t>Is it possible to construct a weighted, strongly connected digraph with at least three vertices, a non-empty edge set, a</t>
        </is>
      </c>
      <c r="F105" s="2" t="inlineStr">
        <is>
          <t>yes</t>
        </is>
      </c>
      <c r="G105" s="2" t="inlineStr">
        <is>
          <t>Hamiltonian cycle with exponential 2^i edge weights</t>
        </is>
      </c>
      <c r="H105" s="2" t="inlineStr">
        <is>
          <t>yes</t>
        </is>
      </c>
      <c r="I105" s="2" t="inlineStr">
        <is>
          <t>Hamiltonian cycle plus exponential weights, unique edge-set sums</t>
        </is>
      </c>
      <c r="J105" s="2" t="inlineStr">
        <is>
          <t>yes-&gt;yes</t>
        </is>
      </c>
    </row>
    <row r="106">
      <c r="A106" s="2" t="n">
        <v>773</v>
      </c>
      <c r="B106" s="2" t="inlineStr">
        <is>
          <t>q_7248</t>
        </is>
      </c>
      <c r="C106" s="2" t="inlineStr">
        <is>
          <t>Mathematics -&gt; Differential Equations -&gt; Ordinary Differential Equations (ODEs)</t>
        </is>
      </c>
      <c r="D106" s="2" t="n">
        <v>5.5</v>
      </c>
      <c r="E106" s="2" t="inlineStr">
        <is>
          <t>Given the differential equation \((2xy - y^2 - y) \, dx = (2xy + x - x^2) \, dy\) with the initial condition \(y(1) = 1\</t>
        </is>
      </c>
      <c r="F106" s="2" t="inlineStr">
        <is>
          <t>yes</t>
        </is>
      </c>
      <c r="G106" s="2" t="inlineStr">
        <is>
          <t>exactness check, potential function with h(y), implicit substitution</t>
        </is>
      </c>
      <c r="H106" s="2" t="inlineStr">
        <is>
          <t>yes</t>
        </is>
      </c>
      <c r="I106" s="2" t="inlineStr">
        <is>
          <t>rearranged, tested exactness, potential function with h(y)</t>
        </is>
      </c>
      <c r="J106" s="2" t="inlineStr">
        <is>
          <t>yes-&gt;yes</t>
        </is>
      </c>
    </row>
    <row r="107">
      <c r="A107" s="2" t="n">
        <v>777</v>
      </c>
      <c r="B107" s="2" t="inlineStr">
        <is>
          <t>q_40507</t>
        </is>
      </c>
      <c r="C107" s="2" t="inlineStr">
        <is>
          <t>Mathematics -&gt; Geometry -&gt; Differential Geometry -&gt; Other</t>
        </is>
      </c>
      <c r="D107" s="2" t="n">
        <v>6</v>
      </c>
      <c r="E107" s="2" t="inlineStr">
        <is>
          <t>Consider a non-increasing sequence of convex sets \(\{S_k\}_{k=1}^\infty\) in a Euclidean space, where \(S_{k+1} \subset</t>
        </is>
      </c>
      <c r="F107" s="2" t="inlineStr">
        <is>
          <t>yes</t>
        </is>
      </c>
      <c r="G107" s="2" t="inlineStr">
        <is>
          <t>limit as intersection, segment argument for convexity preservation</t>
        </is>
      </c>
      <c r="H107" s="2" t="inlineStr">
        <is>
          <t>yes</t>
        </is>
      </c>
      <c r="I107" s="2" t="inlineStr">
        <is>
          <t>limit as intersection, segment argument, intersection preserves convexity</t>
        </is>
      </c>
      <c r="J107" s="2" t="inlineStr">
        <is>
          <t>yes-&gt;yes</t>
        </is>
      </c>
    </row>
    <row r="108">
      <c r="A108" s="2" t="n">
        <v>792</v>
      </c>
      <c r="B108" s="2" t="inlineStr">
        <is>
          <t>q_18729</t>
        </is>
      </c>
      <c r="C108" s="2" t="inlineStr">
        <is>
          <t>Mathematics -&gt; Number Theory -&gt; Divisibility</t>
        </is>
      </c>
      <c r="D108" s="2" t="n">
        <v>5.5</v>
      </c>
      <c r="E108" s="2" t="inlineStr">
        <is>
          <t>In a multiplication problem, all 9 digits from 1 to 9 are used exactly once, represented by asterisks. Each number in th</t>
        </is>
      </c>
      <c r="F108" s="2" t="inlineStr">
        <is>
          <t>unclear</t>
        </is>
      </c>
      <c r="G108" s="2" t="inlineStr">
        <is>
          <t>started invariant/digit-sum analysis, hit contradiction, answer asserted</t>
        </is>
      </c>
      <c r="H108" s="2" t="inlineStr">
        <is>
          <t>unclear</t>
        </is>
      </c>
      <c r="I108" s="2" t="inlineStr">
        <is>
          <t>used digit-sum invariant but final filter hand-waved, conclusion asserted</t>
        </is>
      </c>
      <c r="J108" s="2" t="inlineStr">
        <is>
          <t>unclear-&gt;unclear</t>
        </is>
      </c>
    </row>
    <row r="109">
      <c r="A109" s="2" t="n">
        <v>797</v>
      </c>
      <c r="B109" s="2" t="inlineStr">
        <is>
          <t>q_89244</t>
        </is>
      </c>
      <c r="C109" s="2" t="inlineStr">
        <is>
          <t>Mathematics -&gt; Discrete Mathematics -&gt; Combinatorics</t>
        </is>
      </c>
      <c r="D109" s="2" t="n">
        <v>4</v>
      </c>
      <c r="E109" s="2" t="inlineStr">
        <is>
          <t xml:space="preserve">Is it possible to identify both the heaviest and the lightest coin among ten coins of different weights using a balance </t>
        </is>
      </c>
      <c r="F109" s="2" t="inlineStr">
        <is>
          <t>yes</t>
        </is>
      </c>
      <c r="G109" s="2" t="inlineStr">
        <is>
          <t>pairwise partitioning, separate winner/loser tournaments, 5+4+4</t>
        </is>
      </c>
      <c r="H109" s="2" t="inlineStr">
        <is>
          <t>yes</t>
        </is>
      </c>
      <c r="I109" s="2" t="inlineStr">
        <is>
          <t>pairwise partitioning then winner/loser tournaments, 5+4+4</t>
        </is>
      </c>
      <c r="J109" s="2" t="inlineStr">
        <is>
          <t>yes-&gt;yes</t>
        </is>
      </c>
    </row>
    <row r="110">
      <c r="A110" s="2" t="n">
        <v>800</v>
      </c>
      <c r="B110" s="2" t="inlineStr">
        <is>
          <t>q_42521</t>
        </is>
      </c>
      <c r="C110" s="2" t="inlineStr">
        <is>
          <t>Mathematics -&gt; Algebra -&gt; Abstract Algebra -&gt; Group Theory</t>
        </is>
      </c>
      <c r="D110" s="2" t="n">
        <v>7</v>
      </c>
      <c r="E110" s="2" t="inlineStr">
        <is>
          <t>Determine whether there exists a group with elements $a$ and $b$ such that the cyclic subgroups generated by $ab$ and $b</t>
        </is>
      </c>
      <c r="F110" s="2" t="inlineStr">
        <is>
          <t>yes</t>
        </is>
      </c>
      <c r="G110" s="2" t="inlineStr">
        <is>
          <t>uses Q8 with a=i, b=j, verifies distinct cyclic subgroups</t>
        </is>
      </c>
      <c r="H110" s="2" t="inlineStr">
        <is>
          <t>yes</t>
        </is>
      </c>
      <c r="I110" s="2" t="inlineStr">
        <is>
          <t>used Q8 with a=i, b=j, checked subgroups</t>
        </is>
      </c>
      <c r="J110" s="2" t="inlineStr">
        <is>
          <t>yes-&gt;yes</t>
        </is>
      </c>
    </row>
    <row r="111">
      <c r="A111" s="2" t="n">
        <v>801</v>
      </c>
      <c r="B111" s="2" t="inlineStr">
        <is>
          <t>q_12421</t>
        </is>
      </c>
      <c r="C111" s="2" t="inlineStr">
        <is>
          <t>Mathematics -&gt; Calculus -&gt; Integral Calculus -&gt; Techniques of Integration -&gt; Single-variable</t>
        </is>
      </c>
      <c r="D111" s="2" t="n">
        <v>6</v>
      </c>
      <c r="E111" s="2" t="inlineStr">
        <is>
          <t>Evaluate the limit: \[ \lim_{n \to \infty} \left( \frac{1^2}{n^3+1^2} + \frac{2^2}{n^3+2^2} + \cdots + \frac{n^2}{n^3+n^</t>
        </is>
      </c>
      <c r="F111" s="2" t="inlineStr">
        <is>
          <t>yes</t>
        </is>
      </c>
      <c r="G111" s="2" t="inlineStr">
        <is>
          <t>Squeeze Theorem bounding denominator variable term by extremes</t>
        </is>
      </c>
      <c r="H111" s="2" t="inlineStr">
        <is>
          <t>yes</t>
        </is>
      </c>
      <c r="I111" s="2" t="inlineStr">
        <is>
          <t>squeeze theorem bounds plus power sum asymptotic n^3/3</t>
        </is>
      </c>
      <c r="J111" s="2" t="inlineStr">
        <is>
          <t>yes-&gt;yes</t>
        </is>
      </c>
    </row>
    <row r="112">
      <c r="A112" s="2" t="n">
        <v>803</v>
      </c>
      <c r="B112" s="2" t="inlineStr">
        <is>
          <t>q_15509</t>
        </is>
      </c>
      <c r="C112" s="2" t="inlineStr">
        <is>
          <t>Mathematics -&gt; Geometry -&gt; Plane Geometry -&gt; Other</t>
        </is>
      </c>
      <c r="D112" s="2" t="n">
        <v>4</v>
      </c>
      <c r="E112" s="2" t="inlineStr">
        <is>
          <t>Find the minimum distance between the point \([6,6]\) and the circle defined by \(x^2 + y^2 = 25\) in the metric space w</t>
        </is>
      </c>
      <c r="F112" s="2" t="inlineStr">
        <is>
          <t>yes</t>
        </is>
      </c>
      <c r="G112" s="2" t="inlineStr">
        <is>
          <t>drops absolute values via bounding box, maximizes x+y by symmetry</t>
        </is>
      </c>
      <c r="H112" s="2" t="inlineStr">
        <is>
          <t>yes</t>
        </is>
      </c>
      <c r="I112" s="2" t="inlineStr">
        <is>
          <t>dropped absolute values, maximized x+y via symmetry x=y</t>
        </is>
      </c>
      <c r="J112" s="2" t="inlineStr">
        <is>
          <t>yes-&gt;yes</t>
        </is>
      </c>
    </row>
    <row r="113">
      <c r="A113" s="2" t="n">
        <v>807</v>
      </c>
      <c r="B113" s="2" t="inlineStr">
        <is>
          <t>q_15766</t>
        </is>
      </c>
      <c r="C113" s="2" t="inlineStr">
        <is>
          <t>Mathematics -&gt; Other</t>
        </is>
      </c>
      <c r="D113" s="2" t="n">
        <v>8</v>
      </c>
      <c r="E113" s="2" t="inlineStr">
        <is>
          <t xml:space="preserve">Let \( T: C[0,1] \rightarrow C[0,1] \) be defined by \((Tf)(x) = \int_{0}^{1} xyf(y) \,\mathrm{d}y.\) Show that \( T \) </t>
        </is>
      </c>
      <c r="F113" s="2" t="inlineStr">
        <is>
          <t>yes</t>
        </is>
      </c>
      <c r="G113" s="2" t="inlineStr">
        <is>
          <t>bounded integral by sup norm, attained with f=1</t>
        </is>
      </c>
      <c r="H113" s="2" t="inlineStr">
        <is>
          <t>yes</t>
        </is>
      </c>
      <c r="I113" s="2" t="inlineStr">
        <is>
          <t>triangle-inequality bound, sup over x, attains norm with f=1</t>
        </is>
      </c>
      <c r="J113" s="2" t="inlineStr">
        <is>
          <t>yes-&gt;yes</t>
        </is>
      </c>
    </row>
    <row r="114">
      <c r="A114" s="2" t="n">
        <v>810</v>
      </c>
      <c r="B114" s="2" t="inlineStr">
        <is>
          <t>q_36226</t>
        </is>
      </c>
      <c r="C114" s="2" t="inlineStr">
        <is>
          <t>Mathematics -&gt; Algebra -&gt; Abstract Algebra -&gt; Field Theory</t>
        </is>
      </c>
      <c r="D114" s="2" t="n">
        <v>8</v>
      </c>
      <c r="E114" s="2" t="inlineStr">
        <is>
          <t xml:space="preserve">Determine whether a meromorphic function defined on the entire complex plane with at most one pole can have an infinite </t>
        </is>
      </c>
      <c r="F114" s="2" t="inlineStr">
        <is>
          <t>yes</t>
        </is>
      </c>
      <c r="G114" s="2" t="inlineStr">
        <is>
          <t>defines g(z)=f(z)-z, case-splits poles, tries transcendental construction</t>
        </is>
      </c>
      <c r="H114" s="2" t="inlineStr">
        <is>
          <t>yes</t>
        </is>
      </c>
      <c r="I114" s="2" t="inlineStr">
        <is>
          <t>g(z)=f(z)-z auxiliary, transcendental z+sin(z) constructions</t>
        </is>
      </c>
      <c r="J114" s="2" t="inlineStr">
        <is>
          <t>yes-&gt;yes</t>
        </is>
      </c>
    </row>
    <row r="115">
      <c r="A115" s="2" t="n">
        <v>820</v>
      </c>
      <c r="B115" s="2" t="inlineStr">
        <is>
          <t>q_100683</t>
        </is>
      </c>
      <c r="C115" s="2" t="inlineStr">
        <is>
          <t>Mathematics -&gt; Algebra -&gt; Intermediate Algebra -&gt; Other</t>
        </is>
      </c>
      <c r="D115" s="2" t="n">
        <v>4</v>
      </c>
      <c r="E115" s="2" t="inlineStr">
        <is>
          <t>What fraction of the form $\frac{A}{x + 3}$ can be added to $\frac{6x}{x^2 + 2x - 3}$ so that the result reduces to a fr</t>
        </is>
      </c>
      <c r="F115" s="2" t="inlineStr">
        <is>
          <t>yes</t>
        </is>
      </c>
      <c r="G115" s="2" t="inlineStr">
        <is>
          <t>factored quadratic, forced cancellation, solved A,B system with auxiliary B</t>
        </is>
      </c>
      <c r="H115" s="2" t="inlineStr">
        <is>
          <t>yes</t>
        </is>
      </c>
      <c r="I115" s="2" t="inlineStr">
        <is>
          <t>cleared denominators, B as auxiliary, solved coefficient-matching system</t>
        </is>
      </c>
      <c r="J115" s="2" t="inlineStr">
        <is>
          <t>yes-&gt;yes</t>
        </is>
      </c>
    </row>
    <row r="116">
      <c r="A116" s="2" t="n">
        <v>824</v>
      </c>
      <c r="B116" s="2" t="inlineStr">
        <is>
          <t>q_45809</t>
        </is>
      </c>
      <c r="C116" s="2" t="inlineStr">
        <is>
          <t>Mathematics -&gt; Calculus -&gt; Integral Calculus -&gt; Techniques of Integration -&gt; Single-variable</t>
        </is>
      </c>
      <c r="D116" s="2" t="n">
        <v>6.5</v>
      </c>
      <c r="E116" s="2" t="inlineStr">
        <is>
          <t>Evaluate the limit: $$\lim_{n \to \infty} \frac{\frac{\log (n+2)}{(n+2)} + \frac{\log (n+3)}{(n+3)} + \cdots + \frac{\lo</t>
        </is>
      </c>
      <c r="F116" s="2" t="inlineStr">
        <is>
          <t>yes</t>
        </is>
      </c>
      <c r="G116" s="2" t="inlineStr">
        <is>
          <t>integral approximation of sum, log² expansion, dominant term</t>
        </is>
      </c>
      <c r="H116" s="2" t="inlineStr">
        <is>
          <t>yes</t>
        </is>
      </c>
      <c r="I116" s="2" t="inlineStr">
        <is>
          <t>integral approximation of sum, log^2 growth-order comparison</t>
        </is>
      </c>
      <c r="J116" s="2" t="inlineStr">
        <is>
          <t>yes-&gt;yes</t>
        </is>
      </c>
    </row>
    <row r="117">
      <c r="A117" s="2" t="n">
        <v>830</v>
      </c>
      <c r="B117" s="2" t="inlineStr">
        <is>
          <t>q_42249</t>
        </is>
      </c>
      <c r="C117" s="2" t="inlineStr">
        <is>
          <t>Mathematics -&gt; Calculus -&gt; Differential Calculus -&gt; Applications of Derivatives</t>
        </is>
      </c>
      <c r="D117" s="2" t="n">
        <v>5.5</v>
      </c>
      <c r="E117" s="2" t="inlineStr">
        <is>
          <t>Calculate the magnitude of the tangential component of the vector field \(\vec{A} = (y^3+z^3) \hat{i} + (x^3+z^3) \hat{j</t>
        </is>
      </c>
      <c r="F117" s="2" t="inlineStr">
        <is>
          <t>yes</t>
        </is>
      </c>
      <c r="G117" s="2" t="inlineStr">
        <is>
          <t>normal as position vector, Pythagorean identity for tangential magnitude</t>
        </is>
      </c>
      <c r="H117" s="2" t="inlineStr">
        <is>
          <t>yes</t>
        </is>
      </c>
      <c r="I117" s="2" t="inlineStr">
        <is>
          <t>position-vector normal, Pythagorean identity for tangential magnitude</t>
        </is>
      </c>
      <c r="J117" s="2" t="inlineStr">
        <is>
          <t>yes-&gt;yes</t>
        </is>
      </c>
    </row>
    <row r="118">
      <c r="A118" s="2" t="n">
        <v>831</v>
      </c>
      <c r="B118" s="2" t="inlineStr">
        <is>
          <t>q_19039</t>
        </is>
      </c>
      <c r="C118" s="2" t="inlineStr">
        <is>
          <t>Mathematics -&gt; Algebra -&gt; Linear Algebra -&gt; Matrices</t>
        </is>
      </c>
      <c r="D118" s="2" t="n">
        <v>7</v>
      </c>
      <c r="E118" s="2" t="inlineStr">
        <is>
          <t>Let $P$ be an $s \times s$ matrix and $Q$ be an $s \times r$ matrix. If $\text{rank}(P|Q) = s$, is it possible to find a</t>
        </is>
      </c>
      <c r="F118" s="2" t="inlineStr">
        <is>
          <t>yes</t>
        </is>
      </c>
      <c r="G118" s="2" t="inlineStr">
        <is>
          <t>built PU+QV=I, kernel perturbation, R=V'U'^{-1}</t>
        </is>
      </c>
      <c r="H118" s="2" t="inlineStr">
        <is>
          <t>yes</t>
        </is>
      </c>
      <c r="I118" s="2" t="inlineStr">
        <is>
          <t>builds PU+QV=I from full rank, sets R=VU^-1</t>
        </is>
      </c>
      <c r="J118" s="2" t="inlineStr">
        <is>
          <t>yes-&gt;yes</t>
        </is>
      </c>
    </row>
    <row r="119">
      <c r="A119" s="2" t="n">
        <v>841</v>
      </c>
      <c r="B119" s="2" t="inlineStr">
        <is>
          <t>q_66417</t>
        </is>
      </c>
      <c r="C119" s="2" t="inlineStr">
        <is>
          <t>Mathematics -&gt; Precalculus -&gt; Limits</t>
        </is>
      </c>
      <c r="D119" s="2" t="n">
        <v>5</v>
      </c>
      <c r="E119" s="2" t="inlineStr">
        <is>
          <t>Evaluate the limit: $$\lim_{x \to 1/4}\frac{1-\tan(\pi x)}{2x-\sqrt{x}}$$</t>
        </is>
      </c>
      <c r="F119" s="2" t="inlineStr">
        <is>
          <t>yes</t>
        </is>
      </c>
      <c r="G119" s="2" t="inlineStr">
        <is>
          <t>applies L'Hopital's Rule with chain rule and radical derivative</t>
        </is>
      </c>
      <c r="H119" s="2" t="inlineStr">
        <is>
          <t>yes</t>
        </is>
      </c>
      <c r="I119" s="2" t="inlineStr">
        <is>
          <t>L'Hopital's rule on 0/0 with chain rule</t>
        </is>
      </c>
      <c r="J119" s="2" t="inlineStr">
        <is>
          <t>yes-&gt;yes</t>
        </is>
      </c>
    </row>
    <row r="120">
      <c r="A120" s="2" t="n">
        <v>862</v>
      </c>
      <c r="B120" s="2" t="inlineStr">
        <is>
          <t>q_4122</t>
        </is>
      </c>
      <c r="C120" s="2" t="inlineStr">
        <is>
          <t>Mathematics -&gt; Applied Mathematics -&gt; Statistics -&gt; Probability -&gt; Counting Methods -&gt; Combinations</t>
        </is>
      </c>
      <c r="D120" s="2" t="n">
        <v>5</v>
      </c>
      <c r="E120" s="2" t="inlineStr">
        <is>
          <t>Given three independent and identically distributed random variables $X, Y, Z$ following a Uniform $(0,1)$ distribution,</t>
        </is>
      </c>
      <c r="F120" s="2" t="inlineStr">
        <is>
          <t>yes</t>
        </is>
      </c>
      <c r="G120" s="2" t="inlineStr">
        <is>
          <t>conditioned via total probability, 1-YZ, product of expectations</t>
        </is>
      </c>
      <c r="H120" s="2" t="inlineStr">
        <is>
          <t>yes</t>
        </is>
      </c>
      <c r="I120" s="2" t="inlineStr">
        <is>
          <t>conditions on Y,Z, uses 1-YZ, independence E[YZ]=1/4</t>
        </is>
      </c>
      <c r="J120" s="2" t="inlineStr">
        <is>
          <t>yes-&gt;yes</t>
        </is>
      </c>
    </row>
    <row r="121">
      <c r="A121" s="2" t="n">
        <v>886</v>
      </c>
      <c r="B121" s="2" t="inlineStr">
        <is>
          <t>q_86775</t>
        </is>
      </c>
      <c r="C121" s="2" t="inlineStr">
        <is>
          <t>Mathematics -&gt; Precalculus -&gt; Trigonometric Functions</t>
        </is>
      </c>
      <c r="D121" s="2" t="n">
        <v>5.5</v>
      </c>
      <c r="E121" s="2" t="inlineStr">
        <is>
          <t>Given that \(\theta_{1}\) and \(\theta_{2}\) are acute angles, and satisfy the equation \(\frac{\sin ^{2020} \theta_{1}}</t>
        </is>
      </c>
      <c r="F121" s="2" t="inlineStr">
        <is>
          <t>yes</t>
        </is>
      </c>
      <c r="G121" s="2" t="inlineStr">
        <is>
          <t>tests complementary hypothesis, reduces to Pythagorean identity</t>
        </is>
      </c>
      <c r="H121" s="2" t="inlineStr">
        <is>
          <t>yes</t>
        </is>
      </c>
      <c r="I121" s="2" t="inlineStr">
        <is>
          <t>complementary hypothesis substitution reducing to Pythagorean identity</t>
        </is>
      </c>
      <c r="J121" s="2" t="inlineStr">
        <is>
          <t>yes-&gt;yes</t>
        </is>
      </c>
    </row>
    <row r="122">
      <c r="A122" s="2" t="n">
        <v>888</v>
      </c>
      <c r="B122" s="2" t="inlineStr">
        <is>
          <t>q_65261</t>
        </is>
      </c>
      <c r="C122" s="2" t="inlineStr">
        <is>
          <t>Mathematics -&gt; Algebra -&gt; Abstract Algebra -&gt; Other</t>
        </is>
      </c>
      <c r="D122" s="2" t="n">
        <v>6</v>
      </c>
      <c r="E122" s="2" t="inlineStr">
        <is>
          <t>Let $X$ be a subset of $\mathbb{R}$ containing no open intervals. Is the set $X$ totally disconnected?</t>
        </is>
      </c>
      <c r="F122" s="2" t="inlineStr">
        <is>
          <t>yes</t>
        </is>
      </c>
      <c r="G122" s="2" t="inlineStr">
        <is>
          <t>uses gap identification: point between any two lies outside X</t>
        </is>
      </c>
      <c r="H122" s="2" t="inlineStr">
        <is>
          <t>yes</t>
        </is>
      </c>
      <c r="I122" s="2" t="inlineStr">
        <is>
          <t>gap identification: point outside X separates any two points</t>
        </is>
      </c>
      <c r="J122" s="2" t="inlineStr">
        <is>
          <t>yes-&gt;yes</t>
        </is>
      </c>
    </row>
    <row r="123">
      <c r="A123" s="2" t="n">
        <v>890</v>
      </c>
      <c r="B123" s="2" t="inlineStr">
        <is>
          <t>q_98954</t>
        </is>
      </c>
      <c r="C123" s="2" t="inlineStr">
        <is>
          <t>Mathematics -&gt; Applied Mathematics -&gt; Statistics -&gt; Probability -&gt; Other</t>
        </is>
      </c>
      <c r="D123" s="2" t="n">
        <v>3</v>
      </c>
      <c r="E123" s="2" t="inlineStr">
        <is>
          <t xml:space="preserve">I have 5 red plates and 4 blue plates. If I randomly select two plates to serve dinner on, what is the probability that </t>
        </is>
      </c>
      <c r="F123" s="2" t="inlineStr">
        <is>
          <t>yes</t>
        </is>
      </c>
      <c r="G123" s="2" t="inlineStr">
        <is>
          <t>partitioned same-color cases, summed combinations over C(9,2)</t>
        </is>
      </c>
      <c r="H123" s="2" t="inlineStr">
        <is>
          <t>yes</t>
        </is>
      </c>
      <c r="I123" s="2" t="inlineStr">
        <is>
          <t>partitions both-red both-blue, nCr counts, sums, reduces fraction</t>
        </is>
      </c>
      <c r="J123" s="2" t="inlineStr">
        <is>
          <t>yes-&gt;yes</t>
        </is>
      </c>
    </row>
    <row r="124">
      <c r="A124" s="2" t="n">
        <v>891</v>
      </c>
      <c r="B124" s="2" t="inlineStr">
        <is>
          <t>q_54147</t>
        </is>
      </c>
      <c r="C124" s="2" t="inlineStr">
        <is>
          <t>Mathematics -&gt; Geometry -&gt; Differential Geometry -&gt; Manifolds</t>
        </is>
      </c>
      <c r="D124" s="2" t="n">
        <v>8.5</v>
      </c>
      <c r="E124" s="2" t="inlineStr">
        <is>
          <t xml:space="preserve">Let $M$ be a smooth manifold with a metric $d$ that induces the topology on $M$. Suppose $f:(M,d) \rightarrow (M,d)$ is </t>
        </is>
      </c>
      <c r="F124" s="2" t="inlineStr">
        <is>
          <t>yes</t>
        </is>
      </c>
      <c r="G124" s="2" t="inlineStr">
        <is>
          <t>invoked Myers-Steenrod theorem for smoothness</t>
        </is>
      </c>
      <c r="H124" s="2" t="inlineStr">
        <is>
          <t>yes</t>
        </is>
      </c>
      <c r="I124" s="2" t="inlineStr">
        <is>
          <t>invoked Myers-Steenrod, metric vs Riemannian isometry equivalence</t>
        </is>
      </c>
      <c r="J124" s="2" t="inlineStr">
        <is>
          <t>yes-&gt;yes</t>
        </is>
      </c>
    </row>
    <row r="125">
      <c r="A125" s="2" t="n">
        <v>909</v>
      </c>
      <c r="B125" s="2" t="inlineStr">
        <is>
          <t>q_14336</t>
        </is>
      </c>
      <c r="C125" s="2" t="inlineStr">
        <is>
          <t>Mathematics -&gt; Algebra -&gt; Linear Algebra -&gt; Matrices</t>
        </is>
      </c>
      <c r="D125" s="2" t="n">
        <v>4.5</v>
      </c>
      <c r="E125" s="2" t="inlineStr">
        <is>
          <t>Determine the multiple eigenvalue of the matrix \( A = \begin{bmatrix} 2 &amp; 0 &amp; 0 &amp; 0 \\ 1 &amp; -1 &amp; 0 &amp; 0 \\ 3 &amp; 5 &amp; -2 &amp; -</t>
        </is>
      </c>
      <c r="F125" s="2" t="inlineStr">
        <is>
          <t>unclear</t>
        </is>
      </c>
      <c r="G125" s="2" t="inlineStr">
        <is>
          <t>checks block structure, rejects it, does direct cofactor expansion</t>
        </is>
      </c>
      <c r="H125" s="2" t="inlineStr">
        <is>
          <t>yes</t>
        </is>
      </c>
      <c r="I125" s="2" t="inlineStr">
        <is>
          <t>block decomposition, eigenvalues of 2x2 diagonal blocks</t>
        </is>
      </c>
      <c r="J125" s="2" t="inlineStr">
        <is>
          <t>unclear-&gt;yes</t>
        </is>
      </c>
    </row>
    <row r="126">
      <c r="A126" s="2" t="n">
        <v>916</v>
      </c>
      <c r="B126" s="2" t="inlineStr">
        <is>
          <t>q_87797</t>
        </is>
      </c>
      <c r="C126" s="2" t="inlineStr">
        <is>
          <t>Mathematics -&gt; Discrete Mathematics -&gt; Combinatorics</t>
        </is>
      </c>
      <c r="D126" s="2" t="n">
        <v>5.5</v>
      </c>
      <c r="E126" s="2" t="inlineStr">
        <is>
          <t>Petya and Vasya are playing a game with numbers written on a board: \(1, 2, 3, \ldots, 99\). Starting with Petya, each p</t>
        </is>
      </c>
      <c r="F126" s="2" t="inlineStr">
        <is>
          <t>yes</t>
        </is>
      </c>
      <c r="G126" s="2" t="inlineStr">
        <is>
          <t>shift around 50, remove center, mirroring pairing strategy</t>
        </is>
      </c>
      <c r="H126" s="2" t="inlineStr">
        <is>
          <t>yes</t>
        </is>
      </c>
      <c r="I126" s="2" t="inlineStr">
        <is>
          <t>shift to center 50, remove central value, mirroring strategy</t>
        </is>
      </c>
      <c r="J126" s="2" t="inlineStr">
        <is>
          <t>yes-&gt;yes</t>
        </is>
      </c>
    </row>
    <row r="127">
      <c r="A127" s="2" t="n">
        <v>924</v>
      </c>
      <c r="B127" s="2" t="inlineStr">
        <is>
          <t>q_30694</t>
        </is>
      </c>
      <c r="C127" s="2" t="inlineStr">
        <is>
          <t>Mathematics -&gt; Precalculus -&gt; Limits</t>
        </is>
      </c>
      <c r="D127" s="2" t="n">
        <v>8.5</v>
      </c>
      <c r="E127" s="2" t="inlineStr">
        <is>
          <t>Determine whether the following limit is greater than zero: \[ \lim_{n\to\infty} \log \log n \prod_{i=1}^{\lfloor \log n</t>
        </is>
      </c>
      <c r="F127" s="2" t="inlineStr">
        <is>
          <t>yes</t>
        </is>
      </c>
      <c r="G127" s="2" t="inlineStr">
        <is>
          <t>Mertens' theorem with PNT index conversion, positive constant</t>
        </is>
      </c>
      <c r="H127" s="2" t="inlineStr">
        <is>
          <t>yes</t>
        </is>
      </c>
      <c r="I127" s="2" t="inlineStr">
        <is>
          <t>applies Mertens theorem, PNT p_k~k ln k, dominant-term analysis, e^-gamma</t>
        </is>
      </c>
      <c r="J127" s="2" t="inlineStr">
        <is>
          <t>yes-&gt;yes</t>
        </is>
      </c>
    </row>
    <row r="128">
      <c r="A128" s="2" t="n">
        <v>931</v>
      </c>
      <c r="B128" s="2" t="inlineStr">
        <is>
          <t>q_97515</t>
        </is>
      </c>
      <c r="C128" s="2" t="inlineStr">
        <is>
          <t>Mathematics -&gt; Algebra -&gt; Algebra -&gt; Equations and Inequalities</t>
        </is>
      </c>
      <c r="D128" s="2" t="n">
        <v>4</v>
      </c>
      <c r="E128" s="2" t="inlineStr">
        <is>
          <t xml:space="preserve">Find the solutions to \[\frac{13x - x^2}{x + 1} \left( x + \frac{13 - x}{x + 1} \right) = 42.\]Enter all the solutions, </t>
        </is>
      </c>
      <c r="F128" s="2" t="inlineStr">
        <is>
          <t>yes</t>
        </is>
      </c>
      <c r="G128" s="2" t="inlineStr">
        <is>
          <t>simplified fraction, quartic via LCD, rational roots, synthetic division</t>
        </is>
      </c>
      <c r="H128" s="2" t="inlineStr">
        <is>
          <t>yes</t>
        </is>
      </c>
      <c r="I128" s="2" t="inlineStr">
        <is>
          <t>combined fraction, quartic, Rational Root Theorem, quadratic formula</t>
        </is>
      </c>
      <c r="J128" s="2" t="inlineStr">
        <is>
          <t>yes-&gt;yes</t>
        </is>
      </c>
    </row>
    <row r="129">
      <c r="A129" s="2" t="n">
        <v>934</v>
      </c>
      <c r="B129" s="2" t="inlineStr">
        <is>
          <t>q_61609</t>
        </is>
      </c>
      <c r="C129" s="2" t="inlineStr">
        <is>
          <t>Mathematics -&gt; Number Theory -&gt; Factorization</t>
        </is>
      </c>
      <c r="D129" s="2" t="n">
        <v>7.5</v>
      </c>
      <c r="E129" s="2" t="inlineStr">
        <is>
          <t>Given a prime number \(q \equiv 1 \pmod{4}\) and an integer \(k \equiv 1 \pmod{4}\), determine if it is possible for bot</t>
        </is>
      </c>
      <c r="F129" s="2" t="inlineStr">
        <is>
          <t>yes</t>
        </is>
      </c>
      <c r="G129" s="2" t="inlineStr">
        <is>
          <t>set k=1, collapsed condition, q=2b^2-1, tested odd b candidates</t>
        </is>
      </c>
      <c r="H129" s="2" t="inlineStr">
        <is>
          <t>yes</t>
        </is>
      </c>
      <c r="I129" s="2" t="inlineStr">
        <is>
          <t>set k=1, q=2b^2-1, tested odd b constructively</t>
        </is>
      </c>
      <c r="J129" s="2" t="inlineStr">
        <is>
          <t>yes-&gt;yes</t>
        </is>
      </c>
    </row>
    <row r="130">
      <c r="A130" s="2" t="n">
        <v>943</v>
      </c>
      <c r="B130" s="2" t="inlineStr">
        <is>
          <t>q_79020</t>
        </is>
      </c>
      <c r="C130" s="2" t="inlineStr">
        <is>
          <t>Mathematics -&gt; Calculus -&gt; Differential Calculus -&gt; Derivatives</t>
        </is>
      </c>
      <c r="D130" s="2" t="n">
        <v>5.5</v>
      </c>
      <c r="E130" s="2" t="inlineStr">
        <is>
          <t>Compute the mixed partial derivative \( u_{yx} \) of the function \( u(x,y) = \frac{xy(x^2-y^2)}{(x^2+y^2)} \) at the po</t>
        </is>
      </c>
      <c r="F130" s="2" t="inlineStr">
        <is>
          <t>yes</t>
        </is>
      </c>
      <c r="G130" s="2" t="inlineStr">
        <is>
          <t>inner-to-outer order, u_x(0,y) early, limit definition for y-derivative</t>
        </is>
      </c>
      <c r="H130" s="2" t="inlineStr">
        <is>
          <t>yes</t>
        </is>
      </c>
      <c r="I130" s="2" t="inlineStr">
        <is>
          <t>limit definition for u_x, then limit definition at (0,0)</t>
        </is>
      </c>
      <c r="J130" s="2" t="inlineStr">
        <is>
          <t>yes-&gt;yes</t>
        </is>
      </c>
    </row>
    <row r="131">
      <c r="A131" s="2" t="n">
        <v>944</v>
      </c>
      <c r="B131" s="2" t="inlineStr">
        <is>
          <t>q_33203</t>
        </is>
      </c>
      <c r="C131" s="2" t="inlineStr">
        <is>
          <t>Mathematics -&gt; Calculus -&gt; Differential Calculus -&gt; Applications of Derivatives</t>
        </is>
      </c>
      <c r="D131" s="2" t="n">
        <v>5</v>
      </c>
      <c r="E131" s="2" t="inlineStr">
        <is>
          <t>Evaluate the limit: \[ \lim_{x \to 0} \frac{x \cos x - \sin x}{x^3} \] without using l'Hôpital's rule or Taylor series.</t>
        </is>
      </c>
      <c r="F131" s="2" t="inlineStr">
        <is>
          <t>yes</t>
        </is>
      </c>
      <c r="G131" s="2" t="inlineStr">
        <is>
          <t>add/subtract decomposition, FTC integral form, t=xu substitution</t>
        </is>
      </c>
      <c r="H131" s="2" t="inlineStr">
        <is>
          <t>yes</t>
        </is>
      </c>
      <c r="I131" s="2" t="inlineStr">
        <is>
          <t>decomposed numerator into standard limits, cited FTC integral derivation</t>
        </is>
      </c>
      <c r="J131" s="2" t="inlineStr">
        <is>
          <t>yes-&gt;yes</t>
        </is>
      </c>
    </row>
    <row r="132">
      <c r="A132" s="2" t="n">
        <v>948</v>
      </c>
      <c r="B132" s="2" t="inlineStr">
        <is>
          <t>q_80732</t>
        </is>
      </c>
      <c r="C132" s="2" t="inlineStr">
        <is>
          <t>Mathematics -&gt; Applied Mathematics -&gt; Statistics -&gt; Probability -&gt; Other</t>
        </is>
      </c>
      <c r="D132" s="2" t="n">
        <v>5.5</v>
      </c>
      <c r="E132" s="2" t="inlineStr">
        <is>
          <t>Evaluate the limit \( \lim_{p\rightarrow 0} \frac{P[Bi(n,p) = 1]}{P[Bi(n,p) \geq 2]} \), where \( Bi(n,p) \) denotes a b</t>
        </is>
      </c>
      <c r="F132" s="2" t="inlineStr">
        <is>
          <t>yes</t>
        </is>
      </c>
      <c r="G132" s="2" t="inlineStr">
        <is>
          <t>Taylor expansion of PMF, complementary probability, ratio limit</t>
        </is>
      </c>
      <c r="H132" s="2" t="inlineStr">
        <is>
          <t>yes</t>
        </is>
      </c>
      <c r="I132" s="2" t="inlineStr">
        <is>
          <t>Taylor/complement expansion, np vs p^2 degree comparison, diverges</t>
        </is>
      </c>
      <c r="J132" s="2" t="inlineStr">
        <is>
          <t>yes-&gt;yes</t>
        </is>
      </c>
    </row>
    <row r="133">
      <c r="A133" s="2" t="n">
        <v>949</v>
      </c>
      <c r="B133" s="2" t="inlineStr">
        <is>
          <t>q_19687</t>
        </is>
      </c>
      <c r="C133" s="2" t="inlineStr">
        <is>
          <t>Mathematics -&gt; Number Theory -&gt; Least Common Multiples (LCM)</t>
        </is>
      </c>
      <c r="D133" s="2" t="n">
        <v>6</v>
      </c>
      <c r="E133" s="2" t="inlineStr">
        <is>
          <t>Find the largest even number \( n \) such that there exist positive integers \( a \) and \( b \) satisfying the equation</t>
        </is>
      </c>
      <c r="F133" s="2" t="inlineStr">
        <is>
          <t>yes</t>
        </is>
      </c>
      <c r="G133" s="2" t="inlineStr">
        <is>
          <t>boundary case L=2016, ab=C(n+1), divisor pair testing</t>
        </is>
      </c>
      <c r="H133" s="2" t="inlineStr">
        <is>
          <t>yes</t>
        </is>
      </c>
      <c r="I133" s="2" t="inlineStr">
        <is>
          <t>rearranges ab=2016(n+1), boundary L=C, divisor search for even n</t>
        </is>
      </c>
      <c r="J133" s="2" t="inlineStr">
        <is>
          <t>yes-&gt;yes</t>
        </is>
      </c>
    </row>
    <row r="134">
      <c r="A134" s="2" t="n">
        <v>954</v>
      </c>
      <c r="B134" s="2" t="inlineStr">
        <is>
          <t>q_26264</t>
        </is>
      </c>
      <c r="C134" s="2" t="inlineStr">
        <is>
          <t>Mathematics -&gt; Discrete Mathematics -&gt; Graph Theory</t>
        </is>
      </c>
      <c r="D134" s="2" t="n">
        <v>7.5</v>
      </c>
      <c r="E134" s="2" t="inlineStr">
        <is>
          <t>Can every finite graph be embedded in \(\mathbb{R}^3\)?</t>
        </is>
      </c>
      <c r="F134" s="2" t="inlineStr">
        <is>
          <t>yes</t>
        </is>
      </c>
      <c r="G134" s="2" t="inlineStr">
        <is>
          <t>applied 2k+1 rule and moment-curve general position construction</t>
        </is>
      </c>
      <c r="H134" s="2" t="inlineStr">
        <is>
          <t>yes</t>
        </is>
      </c>
      <c r="I134" s="2" t="inlineStr">
        <is>
          <t>n&gt;=2k+1 rule, moment curve general position, perturbation</t>
        </is>
      </c>
      <c r="J134" s="2" t="inlineStr">
        <is>
          <t>yes-&gt;yes</t>
        </is>
      </c>
    </row>
    <row r="135">
      <c r="A135" s="2" t="n">
        <v>961</v>
      </c>
      <c r="B135" s="2" t="inlineStr">
        <is>
          <t>q_102260</t>
        </is>
      </c>
      <c r="C135" s="2" t="inlineStr">
        <is>
          <t>Mathematics -&gt; Algebra -&gt; Intermediate Algebra -&gt; Exponential Functions</t>
        </is>
      </c>
      <c r="D135" s="2" t="n">
        <v>4</v>
      </c>
      <c r="E135" s="2" t="inlineStr">
        <is>
          <t>Compute \[\frac{(10^4+324)(22^4+324)(34^4+324)(46^4+324)(58^4+324)}{(4^4+324)(16^4+324)(28^4+324)(40^4+324)(52^4+324)}.\</t>
        </is>
      </c>
      <c r="F135" s="2" t="inlineStr">
        <is>
          <t>yes</t>
        </is>
      </c>
      <c r="G135" s="2" t="inlineStr">
        <is>
          <t>Sophie Germain factorization then telescoping cancellation of factors</t>
        </is>
      </c>
      <c r="H135" s="2" t="inlineStr">
        <is>
          <t>yes</t>
        </is>
      </c>
      <c r="I135" s="2" t="inlineStr">
        <is>
          <t>Sophie Germain factoring each term, staggered telescoping cancellation</t>
        </is>
      </c>
      <c r="J135" s="2" t="inlineStr">
        <is>
          <t>yes-&gt;yes</t>
        </is>
      </c>
    </row>
    <row r="136">
      <c r="A136" s="2" t="n">
        <v>962</v>
      </c>
      <c r="B136" s="2" t="inlineStr">
        <is>
          <t>q_57564</t>
        </is>
      </c>
      <c r="C136" s="2" t="inlineStr">
        <is>
          <t>Mathematics -&gt; Algebra -&gt; Abstract Algebra -&gt; Group Theory</t>
        </is>
      </c>
      <c r="D136" s="2" t="n">
        <v>5.5</v>
      </c>
      <c r="E136" s="2" t="inlineStr">
        <is>
          <t>If $G/N \cong H$ for some normal subgroup $N \trianglelefteq G$, does this imply that there exists a homomorphism $\phi:</t>
        </is>
      </c>
      <c r="F136" s="2" t="inlineStr">
        <is>
          <t>yes</t>
        </is>
      </c>
      <c r="G136" s="2" t="inlineStr">
        <is>
          <t>composes canonical projection with isomorphism psi</t>
        </is>
      </c>
      <c r="H136" s="2" t="inlineStr">
        <is>
          <t>yes</t>
        </is>
      </c>
      <c r="I136" s="2" t="inlineStr">
        <is>
          <t>composes canonical projection with isomorphism to build homomorphism</t>
        </is>
      </c>
      <c r="J136" s="2" t="inlineStr">
        <is>
          <t>yes-&gt;yes</t>
        </is>
      </c>
    </row>
    <row r="137">
      <c r="A137" s="2" t="n">
        <v>968</v>
      </c>
      <c r="B137" s="2" t="inlineStr">
        <is>
          <t>q_14848</t>
        </is>
      </c>
      <c r="C137" s="2" t="inlineStr">
        <is>
          <t>Mathematics -&gt; Algebra -&gt; Algebra -&gt; Algebraic Expressions</t>
        </is>
      </c>
      <c r="D137" s="2" t="n">
        <v>5</v>
      </c>
      <c r="E137" s="2" t="inlineStr">
        <is>
          <t>Determine the range of $xy$ given the conditions: $x^2 - xy + y^2 = 9$ and $|x^2 - y^2| &lt; 9$, where $x, y \in \mathbb{R}</t>
        </is>
      </c>
      <c r="F137" s="2" t="inlineStr">
        <is>
          <t>yes</t>
        </is>
      </c>
      <c r="G137" s="2" t="inlineStr">
        <is>
          <t>s,p substitution, single-variable inequality, (x-y)^2 constraint bound</t>
        </is>
      </c>
      <c r="H137" s="2" t="inlineStr">
        <is>
          <t>yes</t>
        </is>
      </c>
      <c r="I137" s="2" t="inlineStr">
        <is>
          <t>s,p substitution, sqrt(s-2p)(s+2p) factoring, (x-y)^2&gt;=0 bound</t>
        </is>
      </c>
      <c r="J137" s="2" t="inlineStr">
        <is>
          <t>yes-&gt;yes</t>
        </is>
      </c>
    </row>
    <row r="138">
      <c r="A138" s="2" t="n">
        <v>973</v>
      </c>
      <c r="B138" s="2" t="inlineStr">
        <is>
          <t>q_1645</t>
        </is>
      </c>
      <c r="C138" s="2" t="inlineStr">
        <is>
          <t>Mathematics -&gt; Calculus -&gt; Integral Calculus -&gt; Techniques of Integration -&gt; Multi-variable</t>
        </is>
      </c>
      <c r="D138" s="2" t="n">
        <v>5.5</v>
      </c>
      <c r="E138" s="2" t="inlineStr">
        <is>
          <t>Determine the value to which the Fourier series of the function \( F(x) \) converges at the point \( x = \pi \), where \</t>
        </is>
      </c>
      <c r="F138" s="2" t="inlineStr">
        <is>
          <t>unclear</t>
        </is>
      </c>
      <c r="G138" s="2" t="inlineStr">
        <is>
          <t>averages jump at x=0 but direct evaluation at pi</t>
        </is>
      </c>
      <c r="H138" s="2" t="inlineStr">
        <is>
          <t>yes</t>
        </is>
      </c>
      <c r="I138" s="2" t="inlineStr">
        <is>
          <t>periodic extension, Dirichlet midpoint average of limits</t>
        </is>
      </c>
      <c r="J138" s="2" t="inlineStr">
        <is>
          <t>unclear-&gt;yes</t>
        </is>
      </c>
    </row>
    <row r="139">
      <c r="A139" s="2" t="n">
        <v>977</v>
      </c>
      <c r="B139" s="2" t="inlineStr">
        <is>
          <t>q_87670</t>
        </is>
      </c>
      <c r="C139" s="2" t="inlineStr">
        <is>
          <t>Mathematics -&gt; Geometry -&gt; Plane Geometry -&gt; Triangulations</t>
        </is>
      </c>
      <c r="D139" s="2" t="n">
        <v>5</v>
      </c>
      <c r="E139" s="2" t="inlineStr">
        <is>
          <t>In triangle $ABC$, where $AB = 9$, $BC = 10$, and $CA = 17$, point $B'$ is the reflection of point $B$ over line $CA$. L</t>
        </is>
      </c>
      <c r="F139" s="2" t="inlineStr">
        <is>
          <t>yes</t>
        </is>
      </c>
      <c r="G139" s="2" t="inlineStr">
        <is>
          <t>GG'=BB'/3, BB'=2h, Heron altitude computation</t>
        </is>
      </c>
      <c r="H139" s="2" t="inlineStr">
        <is>
          <t>yes</t>
        </is>
      </c>
      <c r="I139" s="2" t="inlineStr">
        <is>
          <t>GG'=BB'/3, BB'=2h, Heron's formula for altitude</t>
        </is>
      </c>
      <c r="J139" s="2" t="inlineStr">
        <is>
          <t>yes-&gt;yes</t>
        </is>
      </c>
    </row>
    <row r="140">
      <c r="A140" s="2" t="n">
        <v>989</v>
      </c>
      <c r="B140" s="2" t="inlineStr">
        <is>
          <t>q_28412</t>
        </is>
      </c>
      <c r="C140" s="2" t="inlineStr">
        <is>
          <t>Mathematics -&gt; Discrete Mathematics -&gt; Graph Theory</t>
        </is>
      </c>
      <c r="D140" s="2" t="n">
        <v>7.5</v>
      </c>
      <c r="E140" s="2" t="inlineStr">
        <is>
          <t>Does there exist a finite, simple, undirected, connected graph $G=(V,E)$ such that there is a pair of non-adjacent verti</t>
        </is>
      </c>
      <c r="F140" s="2" t="inlineStr">
        <is>
          <t>yes</t>
        </is>
      </c>
      <c r="G140" s="2" t="inlineStr">
        <is>
          <t>collapsing-as-multi-edge reasoning, counterexample construction, answered yes</t>
        </is>
      </c>
      <c r="H140" s="2" t="inlineStr">
        <is>
          <t>yes</t>
        </is>
      </c>
      <c r="I140" s="2" t="inlineStr">
        <is>
          <t>collapse-vs-edge distinction, constructed near-complete-graph counterexample, answered yes</t>
        </is>
      </c>
      <c r="J140" s="2" t="inlineStr">
        <is>
          <t>yes-&gt;yes</t>
        </is>
      </c>
    </row>
    <row r="141">
      <c r="A141" s="2" t="n">
        <v>992</v>
      </c>
      <c r="B141" s="2" t="inlineStr">
        <is>
          <t>q_11924</t>
        </is>
      </c>
      <c r="C141" s="2" t="inlineStr">
        <is>
          <t>Mathematics -&gt; Algebra -&gt; Algebra -&gt; Polynomial Operations</t>
        </is>
      </c>
      <c r="D141" s="2" t="n">
        <v>5</v>
      </c>
      <c r="E141" s="2" t="inlineStr">
        <is>
          <t>Given that $\alpha, \beta, \gamma, \delta$ are the roots of the polynomial equation $x^4 - 3x + 1 = 0$, find the value o</t>
        </is>
      </c>
      <c r="F141" s="2" t="inlineStr">
        <is>
          <t>yes</t>
        </is>
      </c>
      <c r="G141" s="2" t="inlineStr">
        <is>
          <t>recursive Newton's Identities for p1,p2,p3</t>
        </is>
      </c>
      <c r="H141" s="2" t="inlineStr">
        <is>
          <t>yes</t>
        </is>
      </c>
      <c r="I141" s="2" t="inlineStr">
        <is>
          <t>applies Newton's Identities recursively to get p3</t>
        </is>
      </c>
      <c r="J141" s="2" t="inlineStr">
        <is>
          <t>yes-&gt;yes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9" customWidth="1" min="4" max="4"/>
    <col width="46" customWidth="1" min="5" max="5"/>
    <col width="14" customWidth="1" min="6" max="6"/>
    <col width="40" customWidth="1" min="7" max="7"/>
    <col width="16" customWidth="1" min="8" max="8"/>
    <col width="40" customWidth="1" min="9" max="9"/>
    <col width="16" customWidth="1" min="10" max="10"/>
  </cols>
  <sheetData>
    <row r="1">
      <c r="A1" s="1" t="inlineStr">
        <is>
          <t>item_index</t>
        </is>
      </c>
      <c r="B1" s="1" t="inlineStr">
        <is>
          <t>question_id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question (first 120 chars)</t>
        </is>
      </c>
      <c r="F1" s="1" t="inlineStr">
        <is>
          <t>verdict x1 {q,i}</t>
        </is>
      </c>
      <c r="G1" s="1" t="inlineStr">
        <is>
          <t>evidence x1</t>
        </is>
      </c>
      <c r="H1" s="1" t="inlineStr">
        <is>
          <t>verdict x2 {q,i|q,i}</t>
        </is>
      </c>
      <c r="I1" s="1" t="inlineStr">
        <is>
          <t>evidence x2</t>
        </is>
      </c>
      <c r="J1" s="1" t="inlineStr">
        <is>
          <t>transition</t>
        </is>
      </c>
    </row>
    <row r="2">
      <c r="A2" s="2" t="n">
        <v>2</v>
      </c>
      <c r="B2" s="2" t="inlineStr">
        <is>
          <t>q_102284</t>
        </is>
      </c>
      <c r="C2" s="2" t="inlineStr">
        <is>
          <t>Mathematics -&gt; Algebra -&gt; Algebra -&gt; Equations and Inequalities</t>
        </is>
      </c>
      <c r="D2" s="2" t="n">
        <v>5</v>
      </c>
      <c r="E2" s="2" t="inlineStr">
        <is>
          <t xml:space="preserve">Let $x,$ $y,$ $z$ be real numbers such that $x + y + z = 5$ and $xy + xz + yz = 8.$  Find the largest possible value of </t>
        </is>
      </c>
      <c r="F2" s="2" t="inlineStr">
        <is>
          <t>yes</t>
        </is>
      </c>
      <c r="G2" s="2" t="inlineStr">
        <is>
          <t>discriminant constraint quadratic inequality in x</t>
        </is>
      </c>
      <c r="H2" s="2" t="inlineStr">
        <is>
          <t>yes</t>
        </is>
      </c>
      <c r="I2" s="2" t="inlineStr">
        <is>
          <t>y,z as quadratic roots, discriminant non-negativity inequality</t>
        </is>
      </c>
      <c r="J2" s="2" t="inlineStr">
        <is>
          <t>yes-&gt;yes</t>
        </is>
      </c>
    </row>
    <row r="3">
      <c r="A3" s="2" t="n">
        <v>4</v>
      </c>
      <c r="B3" s="2" t="inlineStr">
        <is>
          <t>q_80009</t>
        </is>
      </c>
      <c r="C3" s="2" t="inlineStr">
        <is>
          <t>Mathematics -&gt; Calculus -&gt; Integral Calculus -&gt; Techniques of Integration -&gt; Single-variable</t>
        </is>
      </c>
      <c r="D3" s="2" t="n">
        <v>8</v>
      </c>
      <c r="E3" s="2" t="inlineStr">
        <is>
          <t>Evaluate the integral \( \int_0^e{W(x)}\,\mathrm{d}x \).</t>
        </is>
      </c>
      <c r="F3" s="2" t="inlineStr">
        <is>
          <t>yes</t>
        </is>
      </c>
      <c r="G3" s="2" t="inlineStr">
        <is>
          <t>inverse-function identity, integration by parts for F</t>
        </is>
      </c>
      <c r="H3" s="2" t="inlineStr">
        <is>
          <t>yes</t>
        </is>
      </c>
      <c r="I3" s="2" t="inlineStr">
        <is>
          <t>applied inverse-function integral identity with F(f-inverse)</t>
        </is>
      </c>
      <c r="J3" s="2" t="inlineStr">
        <is>
          <t>yes-&gt;yes</t>
        </is>
      </c>
    </row>
    <row r="4">
      <c r="A4" s="2" t="n">
        <v>24</v>
      </c>
      <c r="B4" s="2" t="inlineStr">
        <is>
          <t>q_66076</t>
        </is>
      </c>
      <c r="C4" s="2" t="inlineStr">
        <is>
          <t>Mathematics -&gt; Algebra -&gt; Abstract Algebra -&gt; Ring Theory</t>
        </is>
      </c>
      <c r="D4" s="2" t="n">
        <v>8</v>
      </c>
      <c r="E4" s="2" t="inlineStr">
        <is>
          <t>Let $R \subseteq S$ be commutative rings such that $R$ is a subring of $S$ with the same unity. Suppose $S$ has an $R$-m</t>
        </is>
      </c>
      <c r="F4" s="2" t="inlineStr">
        <is>
          <t>yes</t>
        </is>
      </c>
      <c r="G4" s="2" t="inlineStr">
        <is>
          <t>unimodular 1_S, projective module, functional with f(1)=1</t>
        </is>
      </c>
      <c r="H4" s="2" t="inlineStr">
        <is>
          <t>yes</t>
        </is>
      </c>
      <c r="I4" s="2" t="inlineStr">
        <is>
          <t>reduced to functional with p(1_S)=1, built splitting projection</t>
        </is>
      </c>
      <c r="J4" s="2" t="inlineStr">
        <is>
          <t>yes-&gt;yes</t>
        </is>
      </c>
    </row>
    <row r="5">
      <c r="A5" s="2" t="n">
        <v>28</v>
      </c>
      <c r="B5" s="2" t="inlineStr">
        <is>
          <t>q_101824</t>
        </is>
      </c>
      <c r="C5" s="2" t="inlineStr">
        <is>
          <t>Mathematics -&gt; Algebra -&gt; Prealgebra -&gt; Other</t>
        </is>
      </c>
      <c r="D5" s="2" t="n">
        <v>4</v>
      </c>
      <c r="E5" s="2" t="inlineStr">
        <is>
          <t>Convert the base-$64$ number $100_{64}$ to base $62$.</t>
        </is>
      </c>
      <c r="F5" s="2" t="inlineStr">
        <is>
          <t>yes</t>
        </is>
      </c>
      <c r="G5" s="2" t="inlineStr">
        <is>
          <t>base-10 pivot then greedy power subtraction</t>
        </is>
      </c>
      <c r="H5" s="2" t="inlineStr">
        <is>
          <t>yes</t>
        </is>
      </c>
      <c r="I5" s="2" t="inlineStr">
        <is>
          <t>Base-10 pivot, exponential shortcut, greedy power subtraction</t>
        </is>
      </c>
      <c r="J5" s="2" t="inlineStr">
        <is>
          <t>yes-&gt;yes</t>
        </is>
      </c>
    </row>
    <row r="6">
      <c r="A6" s="2" t="n">
        <v>53</v>
      </c>
      <c r="B6" s="2" t="inlineStr">
        <is>
          <t>q_60790</t>
        </is>
      </c>
      <c r="C6" s="2" t="inlineStr">
        <is>
          <t>Mathematics -&gt; Algebra -&gt; Linear Algebra -&gt; Matrices</t>
        </is>
      </c>
      <c r="D6" s="2" t="n">
        <v>5.5</v>
      </c>
      <c r="E6" s="2" t="inlineStr">
        <is>
          <t>Let \( M \) be a \( 3 \times 3 \) matrix such that \( M \begin{bmatrix} -2 \\ 1 \\ 0 \end{bmatrix} = \begin{bmatrix} 6 \</t>
        </is>
      </c>
      <c r="F6" s="2" t="inlineStr">
        <is>
          <t>yes</t>
        </is>
      </c>
      <c r="G6" s="2" t="inlineStr">
        <is>
          <t>identified eigenvector, used scalar eigenvalue exponentiation shortcut</t>
        </is>
      </c>
      <c r="H6" s="2" t="inlineStr">
        <is>
          <t>yes</t>
        </is>
      </c>
      <c r="I6" s="2" t="inlineStr">
        <is>
          <t>Recognized eigenvector, scalar-multiple shortcut, eigenvalue cubed</t>
        </is>
      </c>
      <c r="J6" s="2" t="inlineStr">
        <is>
          <t>yes-&gt;yes</t>
        </is>
      </c>
    </row>
    <row r="7">
      <c r="A7" s="2" t="n">
        <v>58</v>
      </c>
      <c r="B7" s="2" t="inlineStr">
        <is>
          <t>q_28464</t>
        </is>
      </c>
      <c r="C7" s="2" t="inlineStr">
        <is>
          <t>Mathematics -&gt; Calculus -&gt; Integral Calculus -&gt; Applications of Integrals</t>
        </is>
      </c>
      <c r="D7" s="2" t="n">
        <v>6.5</v>
      </c>
      <c r="E7" s="2" t="inlineStr">
        <is>
          <t>Compute the integral of the curl of the vector field \( F = (x^2+y-4, 3xy, 2xz+z^2) \) over the surface defined by \( x^</t>
        </is>
      </c>
      <c r="F7" s="2" t="inlineStr">
        <is>
          <t>yes</t>
        </is>
      </c>
      <c r="G7" s="2" t="inlineStr">
        <is>
          <t>Stokes' theorem, evaluated field at z=0, odd-term vanishing</t>
        </is>
      </c>
      <c r="H7" s="2" t="inlineStr">
        <is>
          <t>yes</t>
        </is>
      </c>
      <c r="I7" s="2" t="inlineStr">
        <is>
          <t>Stokes' theorem, boundary at z=0, parameterized line integral</t>
        </is>
      </c>
      <c r="J7" s="2" t="inlineStr">
        <is>
          <t>yes-&gt;yes</t>
        </is>
      </c>
    </row>
    <row r="8">
      <c r="A8" s="2" t="n">
        <v>61</v>
      </c>
      <c r="B8" s="2" t="inlineStr">
        <is>
          <t>q_10543</t>
        </is>
      </c>
      <c r="C8" s="2" t="inlineStr">
        <is>
          <t>Mathematics -&gt; Algebra -&gt; Abstract Algebra -&gt; Field Theory</t>
        </is>
      </c>
      <c r="D8" s="2" t="n">
        <v>8</v>
      </c>
      <c r="E8" s="2" t="inlineStr">
        <is>
          <t>If $a(x)$ and $b(x)$ are rational functions in $x$ with complex coefficients, and $b(x)^2 = a(x)^3 + 1$, does it necessa</t>
        </is>
      </c>
      <c r="F8" s="2" t="inlineStr">
        <is>
          <t>yes</t>
        </is>
      </c>
      <c r="G8" s="2" t="inlineStr">
        <is>
          <t>genus-1 elliptic curve, no nonconstant maps from P1</t>
        </is>
      </c>
      <c r="H8" s="2" t="inlineStr">
        <is>
          <t>yes</t>
        </is>
      </c>
      <c r="I8" s="2" t="inlineStr">
        <is>
          <t>Genus argument with Riemann-Hurwitz contradiction</t>
        </is>
      </c>
      <c r="J8" s="2" t="inlineStr">
        <is>
          <t>yes-&gt;yes</t>
        </is>
      </c>
    </row>
    <row r="9">
      <c r="A9" s="2" t="n">
        <v>77</v>
      </c>
      <c r="B9" s="2" t="inlineStr">
        <is>
          <t>q_81392</t>
        </is>
      </c>
      <c r="C9" s="2" t="inlineStr">
        <is>
          <t>Mathematics -&gt; Algebra -&gt; Algebra -&gt; Equations and Inequalities</t>
        </is>
      </c>
      <c r="D9" s="2" t="n">
        <v>5.5</v>
      </c>
      <c r="E9" s="2" t="inlineStr">
        <is>
          <t>Let $a, b, x, y$ be real numbers such that $a^2+b^2=81$, $x^2+y^2=121$, and $ax + by = 99$. Determine the set of all pos</t>
        </is>
      </c>
      <c r="F9" s="2" t="inlineStr">
        <is>
          <t>yes</t>
        </is>
      </c>
      <c r="G9" s="2" t="inlineStr">
        <is>
          <t>Vector interpretation, Cauchy-Schwarz equality, collinearity gives zero</t>
        </is>
      </c>
      <c r="H9" s="2" t="inlineStr">
        <is>
          <t>yes</t>
        </is>
      </c>
      <c r="I9" s="2" t="inlineStr">
        <is>
          <t>applied Lagrange's identity directly to get zero</t>
        </is>
      </c>
      <c r="J9" s="2" t="inlineStr">
        <is>
          <t>yes-&gt;yes</t>
        </is>
      </c>
    </row>
    <row r="10">
      <c r="A10" s="2" t="n">
        <v>91</v>
      </c>
      <c r="B10" s="2" t="inlineStr">
        <is>
          <t>q_68697</t>
        </is>
      </c>
      <c r="C10" s="2" t="inlineStr">
        <is>
          <t>Mathematics -&gt; Algebra -&gt; Abstract Algebra -&gt; Group Theory</t>
        </is>
      </c>
      <c r="D10" s="2" t="n">
        <v>7</v>
      </c>
      <c r="E10" s="2" t="inlineStr">
        <is>
          <t>Determine whether a semigroup exists that satisfies the following properties: 1. For all elements $x$ and $y$, there exi</t>
        </is>
      </c>
      <c r="F10" s="2" t="inlineStr">
        <is>
          <t>yes</t>
        </is>
      </c>
      <c r="G10" s="2" t="inlineStr">
        <is>
          <t>translation surjectivity analysis, tests non-abelian S3</t>
        </is>
      </c>
      <c r="H10" s="2" t="inlineStr">
        <is>
          <t>yes</t>
        </is>
      </c>
      <c r="I10" s="2" t="inlineStr">
        <is>
          <t>division property implies group, tested S3 non-commuting pair</t>
        </is>
      </c>
      <c r="J10" s="2" t="inlineStr">
        <is>
          <t>yes-&gt;yes</t>
        </is>
      </c>
    </row>
    <row r="11">
      <c r="A11" s="2" t="n">
        <v>93</v>
      </c>
      <c r="B11" s="2" t="inlineStr">
        <is>
          <t>q_92201</t>
        </is>
      </c>
      <c r="C11" s="2" t="inlineStr">
        <is>
          <t>Mathematics -&gt; Number Theory -&gt; Prime Numbers</t>
        </is>
      </c>
      <c r="D11" s="2" t="n">
        <v>5.5</v>
      </c>
      <c r="E11" s="2" t="inlineStr">
        <is>
          <t xml:space="preserve">Let $A$ be a subset of $\{1,2,\ldots,2020\}$ such that the difference of any two distinct elements in $A$ is not prime. </t>
        </is>
      </c>
      <c r="F11" s="2" t="inlineStr">
        <is>
          <t>yes</t>
        </is>
      </c>
      <c r="G11" s="2" t="inlineStr">
        <is>
          <t>residue class mod 4 construction, multiples of 4 differences</t>
        </is>
      </c>
      <c r="H11" s="2" t="inlineStr">
        <is>
          <t>yes</t>
        </is>
      </c>
      <c r="I11" s="2" t="inlineStr">
        <is>
          <t>mod 4 residue class construction, block optimality check</t>
        </is>
      </c>
      <c r="J11" s="2" t="inlineStr">
        <is>
          <t>yes-&gt;yes</t>
        </is>
      </c>
    </row>
    <row r="12">
      <c r="A12" s="2" t="n">
        <v>97</v>
      </c>
      <c r="B12" s="2" t="inlineStr">
        <is>
          <t>q_100086</t>
        </is>
      </c>
      <c r="C12" s="2" t="inlineStr">
        <is>
          <t>Mathematics -&gt; Geometry -&gt; Plane Geometry -&gt; Angles</t>
        </is>
      </c>
      <c r="D12" s="2" t="n">
        <v>4</v>
      </c>
      <c r="E12" s="2" t="inlineStr">
        <is>
          <t>A convex pentagon has interior angles with measures $x+1$, $2x$, $3x$, $4x$, and $5x-1$ degrees.  What is the measure of</t>
        </is>
      </c>
      <c r="F12" s="2" t="inlineStr">
        <is>
          <t>yes</t>
        </is>
      </c>
      <c r="G12" s="2" t="inlineStr">
        <is>
          <t>540-degree sum, linear equation, convexity check, largest expression</t>
        </is>
      </c>
      <c r="H12" s="2" t="inlineStr">
        <is>
          <t>yes</t>
        </is>
      </c>
      <c r="I12" s="2" t="inlineStr">
        <is>
          <t>pentagon sum 540, linear equation, evaluated largest expression</t>
        </is>
      </c>
      <c r="J12" s="2" t="inlineStr">
        <is>
          <t>yes-&gt;yes</t>
        </is>
      </c>
    </row>
    <row r="13">
      <c r="A13" s="2" t="n">
        <v>103</v>
      </c>
      <c r="B13" s="2" t="inlineStr">
        <is>
          <t>q_84512</t>
        </is>
      </c>
      <c r="C13" s="2" t="inlineStr">
        <is>
          <t>Mathematics -&gt; Calculus -&gt; Integral Calculus -&gt; Applications of Integrals</t>
        </is>
      </c>
      <c r="D13" s="2" t="n">
        <v>5.5</v>
      </c>
      <c r="E13" s="2" t="inlineStr">
        <is>
          <t>Calculate the outward flux of the vector field \( F = (x^3, y^3, z^2) \) across the surface of the solid enclosed by the</t>
        </is>
      </c>
      <c r="F13" s="2" t="inlineStr">
        <is>
          <t>yes</t>
        </is>
      </c>
      <c r="G13" s="2" t="inlineStr">
        <is>
          <t>Divergence Theorem, cylindrical coordinates with Jacobian r</t>
        </is>
      </c>
      <c r="H13" s="2" t="inlineStr">
        <is>
          <t>yes</t>
        </is>
      </c>
      <c r="I13" s="2" t="inlineStr">
        <is>
          <t>Divergence theorem, cylindrical coordinates with Jacobian</t>
        </is>
      </c>
      <c r="J13" s="2" t="inlineStr">
        <is>
          <t>yes-&gt;yes</t>
        </is>
      </c>
    </row>
    <row r="14">
      <c r="A14" s="2" t="n">
        <v>106</v>
      </c>
      <c r="B14" s="2" t="inlineStr">
        <is>
          <t>q_87671</t>
        </is>
      </c>
      <c r="C14" s="2" t="inlineStr">
        <is>
          <t>Mathematics -&gt; Discrete Mathematics -&gt; Combinatorics</t>
        </is>
      </c>
      <c r="D14" s="2" t="n">
        <v>6</v>
      </c>
      <c r="E14" s="2" t="inlineStr">
        <is>
          <t>Let the set \( A = \{0, 1, 2, \ldots, 9\} \). The collection \( \{B_1, B_2, \ldots, B_k\} \) is a family of non-empty su</t>
        </is>
      </c>
      <c r="F14" s="2" t="inlineStr">
        <is>
          <t>yes</t>
        </is>
      </c>
      <c r="G14" s="2" t="inlineStr">
        <is>
          <t>summed complete levels sizes 1-3, though justification garbled</t>
        </is>
      </c>
      <c r="H14" s="2" t="inlineStr">
        <is>
          <t>unclear</t>
        </is>
      </c>
      <c r="I14" s="2" t="inlineStr">
        <is>
          <t>levels construction started but wrongly stopped at size 2</t>
        </is>
      </c>
      <c r="J14" s="2" t="inlineStr">
        <is>
          <t>yes-&gt;unclear</t>
        </is>
      </c>
    </row>
    <row r="15">
      <c r="A15" s="2" t="n">
        <v>109</v>
      </c>
      <c r="B15" s="2" t="inlineStr">
        <is>
          <t>q_3334</t>
        </is>
      </c>
      <c r="C15" s="2" t="inlineStr">
        <is>
          <t>Mathematics -&gt; Algebra -&gt; Abstract Algebra -&gt; Field Theory</t>
        </is>
      </c>
      <c r="D15" s="2" t="n">
        <v>8.5</v>
      </c>
      <c r="E15" s="2" t="inlineStr">
        <is>
          <t>Let $k$ be a field and $\mathrm{Br}(k)$ the Brauer group of $k$. Consider a field extension $k \subset L$ and an element</t>
        </is>
      </c>
      <c r="F15" s="2" t="inlineStr">
        <is>
          <t>yes</t>
        </is>
      </c>
      <c r="G15" s="2" t="inlineStr">
        <is>
          <t>invoked direct limit property forcing finite-stage vanishing</t>
        </is>
      </c>
      <c r="H15" s="2" t="inlineStr">
        <is>
          <t>yes</t>
        </is>
      </c>
      <c r="I15" s="2" t="inlineStr">
        <is>
          <t>finite generation of isomorphism data, direct-limit argument</t>
        </is>
      </c>
      <c r="J15" s="2" t="inlineStr">
        <is>
          <t>yes-&gt;yes</t>
        </is>
      </c>
    </row>
    <row r="16">
      <c r="A16" s="2" t="n">
        <v>110</v>
      </c>
      <c r="B16" s="2" t="inlineStr">
        <is>
          <t>q_85194</t>
        </is>
      </c>
      <c r="C16" s="2" t="inlineStr">
        <is>
          <t>Mathematics -&gt; Discrete Mathematics -&gt; Combinatorics</t>
        </is>
      </c>
      <c r="D16" s="2" t="n">
        <v>6</v>
      </c>
      <c r="E16" s="2" t="inlineStr">
        <is>
          <t>Suppose there are several piles of balls placed on a circle, with the number of balls in each pile being a multiple of 3</t>
        </is>
      </c>
      <c r="F16" s="2" t="inlineStr">
        <is>
          <t>yes</t>
        </is>
      </c>
      <c r="G16" s="2" t="inlineStr">
        <is>
          <t>variance reduction, target state construction, symmetry argument</t>
        </is>
      </c>
      <c r="H16" s="2" t="inlineStr">
        <is>
          <t>yes</t>
        </is>
      </c>
      <c r="I16" s="2" t="inlineStr">
        <is>
          <t>iterative averaging variance reduction, adjustments enable convergence argument</t>
        </is>
      </c>
      <c r="J16" s="2" t="inlineStr">
        <is>
          <t>yes-&gt;yes</t>
        </is>
      </c>
    </row>
    <row r="17">
      <c r="A17" s="2" t="n">
        <v>112</v>
      </c>
      <c r="B17" s="2" t="inlineStr">
        <is>
          <t>q_14325</t>
        </is>
      </c>
      <c r="C17" s="2" t="inlineStr">
        <is>
          <t>Mathematics -&gt; Applied Mathematics -&gt; Statistics -&gt; Mathematical Statistics</t>
        </is>
      </c>
      <c r="D17" s="2" t="n">
        <v>6.5</v>
      </c>
      <c r="E17" s="2" t="inlineStr">
        <is>
          <t>Find the maximum value of the function \( F(x_1, x_2, \ldots, x_N) = - \sum_{i=1}^N x_i \log(x_i) \) subject to the cons</t>
        </is>
      </c>
      <c r="F17" s="2" t="inlineStr">
        <is>
          <t>yes</t>
        </is>
      </c>
      <c r="G17" s="2" t="inlineStr">
        <is>
          <t>uniformity hypothesis, verified via Jensen's inequality</t>
        </is>
      </c>
      <c r="H17" s="2" t="inlineStr">
        <is>
          <t>yes</t>
        </is>
      </c>
      <c r="I17" s="2" t="inlineStr">
        <is>
          <t>Lagrange multipliers giving uniform x_i=1/N, maximum log N</t>
        </is>
      </c>
      <c r="J17" s="2" t="inlineStr">
        <is>
          <t>yes-&gt;yes</t>
        </is>
      </c>
    </row>
    <row r="18">
      <c r="A18" s="2" t="n">
        <v>119</v>
      </c>
      <c r="B18" s="2" t="inlineStr">
        <is>
          <t>q_34015</t>
        </is>
      </c>
      <c r="C18" s="2" t="inlineStr">
        <is>
          <t>Mathematics -&gt; Applied Mathematics -&gt; Statistics -&gt; Probability -&gt; Other</t>
        </is>
      </c>
      <c r="D18" s="2" t="n">
        <v>2</v>
      </c>
      <c r="E18" s="2" t="inlineStr">
        <is>
          <t>Calculate the variance of the function \( g(x) = (2x+1)^2 \) where \( x \) is a random variable with values 3, 6, and 9,</t>
        </is>
      </c>
      <c r="F18" s="2" t="inlineStr">
        <is>
          <t>yes</t>
        </is>
      </c>
      <c r="G18" s="2" t="inlineStr">
        <is>
          <t>Computational variance formula with mapped PMF</t>
        </is>
      </c>
      <c r="H18" s="2" t="inlineStr">
        <is>
          <t>yes</t>
        </is>
      </c>
      <c r="I18" s="2" t="inlineStr">
        <is>
          <t>Computational variance formula, mapped PMF, common denominators</t>
        </is>
      </c>
      <c r="J18" s="2" t="inlineStr">
        <is>
          <t>yes-&gt;yes</t>
        </is>
      </c>
    </row>
    <row r="19">
      <c r="A19" s="2" t="n">
        <v>129</v>
      </c>
      <c r="B19" s="2" t="inlineStr">
        <is>
          <t>q_69590</t>
        </is>
      </c>
      <c r="C19" s="2" t="inlineStr">
        <is>
          <t>Mathematics -&gt; Geometry -&gt; Differential Geometry -&gt; Manifolds</t>
        </is>
      </c>
      <c r="D19" s="2" t="n">
        <v>8.5</v>
      </c>
      <c r="E19" s="2" t="inlineStr">
        <is>
          <t>Compute the intersection number \( \iota^*\mathcal{O}(2,3) \cdot \iota^*\mathcal{O}(2,3) \) for the smooth subvariety \(</t>
        </is>
      </c>
      <c r="F19" s="2" t="inlineStr">
        <is>
          <t>yes</t>
        </is>
      </c>
      <c r="G19" s="2" t="inlineStr">
        <is>
          <t>projection formula, Chow ring relations, extracted point-class coefficient</t>
        </is>
      </c>
      <c r="H19" s="2" t="inlineStr">
        <is>
          <t>yes</t>
        </is>
      </c>
      <c r="I19" s="2" t="inlineStr">
        <is>
          <t>projection formula, Chow ring expansion, coefficient extraction</t>
        </is>
      </c>
      <c r="J19" s="2" t="inlineStr">
        <is>
          <t>yes-&gt;yes</t>
        </is>
      </c>
    </row>
    <row r="20">
      <c r="A20" s="2" t="n">
        <v>138</v>
      </c>
      <c r="B20" s="2" t="inlineStr">
        <is>
          <t>q_51626</t>
        </is>
      </c>
      <c r="C20" s="2" t="inlineStr">
        <is>
          <t>Mathematics -&gt; Algebra -&gt; Linear Algebra -&gt; Linear Transformations</t>
        </is>
      </c>
      <c r="D20" s="2" t="n">
        <v>8</v>
      </c>
      <c r="E20" s="2" t="inlineStr">
        <is>
          <t>In a finite-dimensional complex vector space $E$, let $f$ be a linear operator in $\mathcal{L}(E)$. Suppose that for eve</t>
        </is>
      </c>
      <c r="F20" s="2" t="inlineStr">
        <is>
          <t>yes</t>
        </is>
      </c>
      <c r="G20" s="2" t="inlineStr">
        <is>
          <t>bounded minimal polynomial degree by p, deduced operator dependence</t>
        </is>
      </c>
      <c r="H20" s="2" t="inlineStr">
        <is>
          <t>yes</t>
        </is>
      </c>
      <c r="I20" s="2" t="inlineStr">
        <is>
          <t>reduced to minimal polynomial degree bound at most p</t>
        </is>
      </c>
      <c r="J20" s="2" t="inlineStr">
        <is>
          <t>yes-&gt;yes</t>
        </is>
      </c>
    </row>
    <row r="21">
      <c r="A21" s="2" t="n">
        <v>144</v>
      </c>
      <c r="B21" s="2" t="inlineStr">
        <is>
          <t>q_16171</t>
        </is>
      </c>
      <c r="C21" s="2" t="inlineStr">
        <is>
          <t>Mathematics -&gt; Applied Mathematics -&gt; Statistics -&gt; Probability -&gt; Counting Methods -&gt; Combinations</t>
        </is>
      </c>
      <c r="D21" s="2" t="n">
        <v>4.5</v>
      </c>
      <c r="E21" s="2" t="inlineStr">
        <is>
          <t>Determine the minimum number of times you need to spin a bottle to have at least a 50% chance of pointing to each of the</t>
        </is>
      </c>
      <c r="F21" s="2" t="inlineStr">
        <is>
          <t>yes</t>
        </is>
      </c>
      <c r="G21" s="2" t="inlineStr">
        <is>
          <t>Coupon collector framing, Poisson approximation solved for n</t>
        </is>
      </c>
      <c r="H21" s="2" t="inlineStr">
        <is>
          <t>yes</t>
        </is>
      </c>
      <c r="I21" s="2" t="inlineStr">
        <is>
          <t>Poisson approximation range, then inclusion-exclusion refinement</t>
        </is>
      </c>
      <c r="J21" s="2" t="inlineStr">
        <is>
          <t>yes-&gt;yes</t>
        </is>
      </c>
    </row>
    <row r="22">
      <c r="A22" s="2" t="n">
        <v>145</v>
      </c>
      <c r="B22" s="2" t="inlineStr">
        <is>
          <t>q_84599</t>
        </is>
      </c>
      <c r="C22" s="2" t="inlineStr">
        <is>
          <t>Mathematics -&gt; Calculus -&gt; Integral Calculus -&gt; Techniques of Integration -&gt; Multi-variable</t>
        </is>
      </c>
      <c r="D22" s="2" t="n">
        <v>7</v>
      </c>
      <c r="E22" s="2" t="inlineStr">
        <is>
          <t>Evaluate the line integral \( \int_C F \cdot dr \) where \( F = yz\mathbf{i} + 2xz\mathbf{j} + e^{xy}\mathbf{k} \) and \</t>
        </is>
      </c>
      <c r="F22" s="2" t="inlineStr">
        <is>
          <t>yes</t>
        </is>
      </c>
      <c r="G22" s="2" t="inlineStr">
        <is>
          <t>Stokes with flat disk, n=-k downward, constant times area</t>
        </is>
      </c>
      <c r="H22" s="2" t="inlineStr">
        <is>
          <t>yes</t>
        </is>
      </c>
      <c r="I22" s="2" t="inlineStr">
        <is>
          <t>Stokes with flat disk, normal -k, only z-component curl</t>
        </is>
      </c>
      <c r="J22" s="2" t="inlineStr">
        <is>
          <t>yes-&gt;yes</t>
        </is>
      </c>
    </row>
    <row r="23">
      <c r="A23" s="2" t="n">
        <v>170</v>
      </c>
      <c r="B23" s="2" t="inlineStr">
        <is>
          <t>q_70530</t>
        </is>
      </c>
      <c r="C23" s="2" t="inlineStr">
        <is>
          <t>Mathematics -&gt; Algebra -&gt; Abstract Algebra -&gt; Other</t>
        </is>
      </c>
      <c r="D23" s="2" t="n">
        <v>6</v>
      </c>
      <c r="E23" s="2" t="inlineStr">
        <is>
          <t>If a function $f$ is periodic with a rational period $T$, does it have a finite number of distinct values for $f(n)$, wh</t>
        </is>
      </c>
      <c r="F23" s="2" t="inlineStr">
        <is>
          <t>yes</t>
        </is>
      </c>
      <c r="G23" s="2" t="inlineStr">
        <is>
          <t>integer scaling qT=p gives fundamental discrete period</t>
        </is>
      </c>
      <c r="H23" s="2" t="inlineStr">
        <is>
          <t>yes</t>
        </is>
      </c>
      <c r="I23" s="2" t="inlineStr">
        <is>
          <t>integer scaling to period p, at most p values</t>
        </is>
      </c>
      <c r="J23" s="2" t="inlineStr">
        <is>
          <t>yes-&gt;yes</t>
        </is>
      </c>
    </row>
    <row r="24">
      <c r="A24" s="2" t="n">
        <v>188</v>
      </c>
      <c r="B24" s="2" t="inlineStr">
        <is>
          <t>q_33506</t>
        </is>
      </c>
      <c r="C24" s="2" t="inlineStr">
        <is>
          <t>Mathematics -&gt; Algebra -&gt; Abstract Algebra -&gt; Ring Theory</t>
        </is>
      </c>
      <c r="D24" s="2" t="n">
        <v>8</v>
      </c>
      <c r="E24" s="2" t="inlineStr">
        <is>
          <t>Suppose $R$ is a commutative ring such that for every ascending chain of ideals $I_1 \subseteq I_2 \subseteq I_3 \subset</t>
        </is>
      </c>
      <c r="F24" s="2" t="inlineStr">
        <is>
          <t>yes</t>
        </is>
      </c>
      <c r="G24" s="2" t="inlineStr">
        <is>
          <t>contradiction via strictly increasing chain, ACC mapping</t>
        </is>
      </c>
      <c r="H24" s="2" t="inlineStr">
        <is>
          <t>yes</t>
        </is>
      </c>
      <c r="I24" s="2" t="inlineStr">
        <is>
          <t>contradiction via strictly increasing chain, mapped to ACC</t>
        </is>
      </c>
      <c r="J24" s="2" t="inlineStr">
        <is>
          <t>yes-&gt;yes</t>
        </is>
      </c>
    </row>
    <row r="25">
      <c r="A25" s="2" t="n">
        <v>194</v>
      </c>
      <c r="B25" s="2" t="inlineStr">
        <is>
          <t>q_11571</t>
        </is>
      </c>
      <c r="C25" s="2" t="inlineStr">
        <is>
          <t>Mathematics -&gt; Algebra -&gt; Abstract Algebra -&gt; Field Theory</t>
        </is>
      </c>
      <c r="D25" s="2" t="n">
        <v>9</v>
      </c>
      <c r="E25" s="2" t="inlineStr">
        <is>
          <t>Let $k$ be a field of characteristic 0, and let $X$ and $Y$ be smooth, projective, and geometrically integral $k$-scheme</t>
        </is>
      </c>
      <c r="F25" s="2" t="inlineStr">
        <is>
          <t>yes</t>
        </is>
      </c>
      <c r="G25" s="2" t="inlineStr">
        <is>
          <t>product of cycles, degrees multiply to 1</t>
        </is>
      </c>
      <c r="H25" s="2" t="inlineStr">
        <is>
          <t>yes</t>
        </is>
      </c>
      <c r="I25" s="2" t="inlineStr">
        <is>
          <t>formal product of cycles with multiplicative degree</t>
        </is>
      </c>
      <c r="J25" s="2" t="inlineStr">
        <is>
          <t>yes-&gt;yes</t>
        </is>
      </c>
    </row>
    <row r="26">
      <c r="A26" s="2" t="n">
        <v>204</v>
      </c>
      <c r="B26" s="2" t="inlineStr">
        <is>
          <t>q_38257</t>
        </is>
      </c>
      <c r="C26" s="2" t="inlineStr">
        <is>
          <t>Mathematics -&gt; Calculus -&gt; Differential Calculus -&gt; Applications of Derivatives</t>
        </is>
      </c>
      <c r="D26" s="2" t="n">
        <v>5</v>
      </c>
      <c r="E26" s="2" t="inlineStr">
        <is>
          <t>Evaluate the limit \(\lim_{x\to0}\frac{1}{x^2}\Big(\frac{3}{3+x}-\frac{\sin(x)}{x}\Big)\) using Taylor series expansion.</t>
        </is>
      </c>
      <c r="F26" s="2" t="inlineStr">
        <is>
          <t>yes</t>
        </is>
      </c>
      <c r="G26" s="2" t="inlineStr">
        <is>
          <t>factored geometric series, Taylor expanded, leading-order divergence analysis</t>
        </is>
      </c>
      <c r="H26" s="2" t="inlineStr">
        <is>
          <t>yes</t>
        </is>
      </c>
      <c r="I26" s="2" t="inlineStr">
        <is>
          <t>target-order Taylor expansion, net-power analysis, parity DNE</t>
        </is>
      </c>
      <c r="J26" s="2" t="inlineStr">
        <is>
          <t>yes-&gt;yes</t>
        </is>
      </c>
    </row>
    <row r="27">
      <c r="A27" s="2" t="n">
        <v>211</v>
      </c>
      <c r="B27" s="2" t="inlineStr">
        <is>
          <t>q_58460</t>
        </is>
      </c>
      <c r="C27" s="2" t="inlineStr">
        <is>
          <t>Mathematics -&gt; Algebra -&gt; Linear Algebra -&gt; Matrices</t>
        </is>
      </c>
      <c r="D27" s="2" t="n">
        <v>7</v>
      </c>
      <c r="E27" s="2" t="inlineStr">
        <is>
          <t>Given a positive integer $d$ and an integer $n \ge 3$, consider an $n \times n$ matrix $A$ with non-negative integer ent</t>
        </is>
      </c>
      <c r="F27" s="2" t="inlineStr">
        <is>
          <t>yes</t>
        </is>
      </c>
      <c r="G27" s="2" t="inlineStr">
        <is>
          <t>Matrix Determinant Lemma with adj(A)1=1 eigenvector simplification</t>
        </is>
      </c>
      <c r="H27" s="2" t="inlineStr">
        <is>
          <t>unclear</t>
        </is>
      </c>
      <c r="I27" s="2" t="inlineStr">
        <is>
          <t>applies determinant lemma fully, then contradicts via counterexample</t>
        </is>
      </c>
      <c r="J27" s="2" t="inlineStr">
        <is>
          <t>yes-&gt;unclear</t>
        </is>
      </c>
    </row>
    <row r="28">
      <c r="A28" s="2" t="n">
        <v>216</v>
      </c>
      <c r="B28" s="2" t="inlineStr">
        <is>
          <t>q_39644</t>
        </is>
      </c>
      <c r="C28" s="2" t="inlineStr">
        <is>
          <t>Mathematics -&gt; Applied Mathematics -&gt; Statistics -&gt; Probability -&gt; Other</t>
        </is>
      </c>
      <c r="D28" s="2" t="n">
        <v>6</v>
      </c>
      <c r="E28" s="2" t="inlineStr">
        <is>
          <t>Calculate the expected distance between two points chosen randomly and independently on the circumference of a circle wi</t>
        </is>
      </c>
      <c r="F28" s="2" t="inlineStr">
        <is>
          <t>yes</t>
        </is>
      </c>
      <c r="G28" s="2" t="inlineStr">
        <is>
          <t>fixed point, uniform angle pdf 1/pi, chord formula, substitution integral</t>
        </is>
      </c>
      <c r="H28" s="2" t="inlineStr">
        <is>
          <t>yes</t>
        </is>
      </c>
      <c r="I28" s="2" t="inlineStr">
        <is>
          <t>Fixed point, uniform angle PDF, chord formula, substitution integration</t>
        </is>
      </c>
      <c r="J28" s="2" t="inlineStr">
        <is>
          <t>yes-&gt;yes</t>
        </is>
      </c>
    </row>
    <row r="29">
      <c r="A29" s="2" t="n">
        <v>221</v>
      </c>
      <c r="B29" s="2" t="inlineStr">
        <is>
          <t>q_37643</t>
        </is>
      </c>
      <c r="C29" s="2" t="inlineStr">
        <is>
          <t>Mathematics -&gt; Calculus -&gt; Differential Calculus -&gt; Applications of Derivatives</t>
        </is>
      </c>
      <c r="D29" s="2" t="n">
        <v>5.5</v>
      </c>
      <c r="E29" s="2" t="inlineStr">
        <is>
          <t>Consider two functions $f(t)$ and $g(t)$ where $f(t)$ approaches infinity and $g(t)$ approaches negative infinity as $t$</t>
        </is>
      </c>
      <c r="F29" s="2" t="inlineStr">
        <is>
          <t>yes</t>
        </is>
      </c>
      <c r="G29" s="2" t="inlineStr">
        <is>
          <t>ratio as e^{g-f}, showed difference diverges to minus infinity</t>
        </is>
      </c>
      <c r="H29" s="2" t="inlineStr">
        <is>
          <t>yes</t>
        </is>
      </c>
      <c r="I29" s="2" t="inlineStr">
        <is>
          <t>rewrites ratio as e^{g-f}, shows difference diverges</t>
        </is>
      </c>
      <c r="J29" s="2" t="inlineStr">
        <is>
          <t>yes-&gt;yes</t>
        </is>
      </c>
    </row>
    <row r="30">
      <c r="A30" s="2" t="n">
        <v>240</v>
      </c>
      <c r="B30" s="2" t="inlineStr">
        <is>
          <t>q_89473</t>
        </is>
      </c>
      <c r="C30" s="2" t="inlineStr">
        <is>
          <t>Mathematics -&gt; Algebra -&gt; Intermediate Algebra -&gt; Complex Numbers</t>
        </is>
      </c>
      <c r="D30" s="2" t="n">
        <v>5.5</v>
      </c>
      <c r="E30" s="2" t="inlineStr">
        <is>
          <t>Let \( z \) be a complex number. If \( \frac{z-6}{z-8i} \) is a purely imaginary number, find the maximum value of \( |\</t>
        </is>
      </c>
      <c r="F30" s="2" t="inlineStr">
        <is>
          <t>yes</t>
        </is>
      </c>
      <c r="G30" s="2" t="inlineStr">
        <is>
          <t>used conjugate property, derived circle, computed k plus/minus r extrema</t>
        </is>
      </c>
      <c r="H30" s="2" t="inlineStr">
        <is>
          <t>yes</t>
        </is>
      </c>
      <c r="I30" s="2" t="inlineStr">
        <is>
          <t>conjugate multiplication, real part zero, circle extremum k+r</t>
        </is>
      </c>
      <c r="J30" s="2" t="inlineStr">
        <is>
          <t>yes-&gt;yes</t>
        </is>
      </c>
    </row>
    <row r="31">
      <c r="A31" s="2" t="n">
        <v>241</v>
      </c>
      <c r="B31" s="2" t="inlineStr">
        <is>
          <t>q_31789</t>
        </is>
      </c>
      <c r="C31" s="2" t="inlineStr">
        <is>
          <t>Mathematics -&gt; Precalculus -&gt; Limits</t>
        </is>
      </c>
      <c r="D31" s="2" t="n">
        <v>5</v>
      </c>
      <c r="E31" s="2" t="inlineStr">
        <is>
          <t>Evaluate the limit: $$\lim_{x\rightarrow 0}\left(\frac{1}{\log(x+\sqrt{1+x^2})}-\frac{1}{\log(1+x)}\right)$$</t>
        </is>
      </c>
      <c r="F31" s="2" t="inlineStr">
        <is>
          <t>yes</t>
        </is>
      </c>
      <c r="G31" s="2" t="inlineStr">
        <is>
          <t>single fraction, Taylor expansions, arcsinh series used</t>
        </is>
      </c>
      <c r="H31" s="2" t="inlineStr">
        <is>
          <t>yes</t>
        </is>
      </c>
      <c r="I31" s="2" t="inlineStr">
        <is>
          <t>Single fraction, Taylor expansions, arcsinh series recognized</t>
        </is>
      </c>
      <c r="J31" s="2" t="inlineStr">
        <is>
          <t>yes-&gt;yes</t>
        </is>
      </c>
    </row>
    <row r="32">
      <c r="A32" s="2" t="n">
        <v>272</v>
      </c>
      <c r="B32" s="2" t="inlineStr">
        <is>
          <t>q_69788</t>
        </is>
      </c>
      <c r="C32" s="2" t="inlineStr">
        <is>
          <t>Mathematics -&gt; Discrete Mathematics -&gt; Graph Theory</t>
        </is>
      </c>
      <c r="D32" s="2" t="n">
        <v>4</v>
      </c>
      <c r="E32" s="2" t="inlineStr">
        <is>
          <t>In a directed graph, there are two cycles: one cycle consists of 2 vertices, and the other consists of 3 vertices. Deter</t>
        </is>
      </c>
      <c r="F32" s="2" t="inlineStr">
        <is>
          <t>yes</t>
        </is>
      </c>
      <c r="G32" s="2" t="inlineStr">
        <is>
          <t>recurrence f(n)=f(n-2)+f(n-3), base f(0)=1, iterated to 12</t>
        </is>
      </c>
      <c r="H32" s="2" t="inlineStr">
        <is>
          <t>yes</t>
        </is>
      </c>
      <c r="I32" s="2" t="inlineStr">
        <is>
          <t>composition recurrence f(n)=f(n-2)+f(n-3) with base cases</t>
        </is>
      </c>
      <c r="J32" s="2" t="inlineStr">
        <is>
          <t>yes-&gt;yes</t>
        </is>
      </c>
    </row>
    <row r="33">
      <c r="A33" s="2" t="n">
        <v>282</v>
      </c>
      <c r="B33" s="2" t="inlineStr">
        <is>
          <t>q_42644</t>
        </is>
      </c>
      <c r="C33" s="2" t="inlineStr">
        <is>
          <t>Mathematics -&gt; Calculus -&gt; Differential Calculus -&gt; Applications of Derivatives</t>
        </is>
      </c>
      <c r="D33" s="2" t="n">
        <v>5</v>
      </c>
      <c r="E33" s="2" t="inlineStr">
        <is>
          <t>Determine the positive value of $c$ such that the equation $\log x = cx^4$ has exactly one real solution for $x$. Provid</t>
        </is>
      </c>
      <c r="F33" s="2" t="inlineStr">
        <is>
          <t>yes</t>
        </is>
      </c>
      <c r="G33" s="2" t="inlineStr">
        <is>
          <t>solved f'=0 for cx^4, substituted back, boundary check</t>
        </is>
      </c>
      <c r="H33" s="2" t="inlineStr">
        <is>
          <t>yes</t>
        </is>
      </c>
      <c r="I33" s="2" t="inlineStr">
        <is>
          <t>used tangency condition f=0, f'=0 with boundary behavior check</t>
        </is>
      </c>
      <c r="J33" s="2" t="inlineStr">
        <is>
          <t>yes-&gt;yes</t>
        </is>
      </c>
    </row>
    <row r="34">
      <c r="A34" s="2" t="n">
        <v>287</v>
      </c>
      <c r="B34" s="2" t="inlineStr">
        <is>
          <t>q_68091</t>
        </is>
      </c>
      <c r="C34" s="2" t="inlineStr">
        <is>
          <t>Mathematics -&gt; Number Theory -&gt; Congruences</t>
        </is>
      </c>
      <c r="D34" s="2" t="n">
        <v>7</v>
      </c>
      <c r="E34" s="2" t="inlineStr">
        <is>
          <t>Calculate the last two digits of \(14^{14^{14}}\) using modular arithmetic.</t>
        </is>
      </c>
      <c r="F34" s="2" t="inlineStr">
        <is>
          <t>yes</t>
        </is>
      </c>
      <c r="G34" s="2" t="inlineStr">
        <is>
          <t>totient exponent reduction plus CRT mod 4 and 25</t>
        </is>
      </c>
      <c r="H34" s="2" t="inlineStr">
        <is>
          <t>unclear</t>
        </is>
      </c>
      <c r="I34" s="2" t="inlineStr">
        <is>
          <t>totient exponent reduction only; skipped CRT non-coprime handling</t>
        </is>
      </c>
      <c r="J34" s="2" t="inlineStr">
        <is>
          <t>yes-&gt;unclear</t>
        </is>
      </c>
    </row>
    <row r="35">
      <c r="A35" s="2" t="n">
        <v>297</v>
      </c>
      <c r="B35" s="2" t="inlineStr">
        <is>
          <t>q_23801</t>
        </is>
      </c>
      <c r="C35" s="2" t="inlineStr">
        <is>
          <t>Mathematics -&gt; Algebra -&gt; Intermediate Algebra -&gt; Exponential Functions</t>
        </is>
      </c>
      <c r="D35" s="2" t="n">
        <v>8.5</v>
      </c>
      <c r="E35" s="2" t="inlineStr">
        <is>
          <t>Let $x \in \mathbb{R}^+$ and define the operation $x \diamond 1 = x$ and $x \diamond (n+1) = x^{x \diamond n}$ for $n \i</t>
        </is>
      </c>
      <c r="F35" s="2" t="inlineStr">
        <is>
          <t>yes</t>
        </is>
      </c>
      <c r="G35" s="2" t="inlineStr">
        <is>
          <t>height-base trade-off and monotonicity comparison</t>
        </is>
      </c>
      <c r="H35" s="2" t="inlineStr">
        <is>
          <t>yes</t>
        </is>
      </c>
      <c r="I35" s="2" t="inlineStr">
        <is>
          <t>height-base trade-off and parameter shift comparison</t>
        </is>
      </c>
      <c r="J35" s="2" t="inlineStr">
        <is>
          <t>yes-&gt;yes</t>
        </is>
      </c>
    </row>
    <row r="36">
      <c r="A36" s="2" t="n">
        <v>299</v>
      </c>
      <c r="B36" s="2" t="inlineStr">
        <is>
          <t>q_102329</t>
        </is>
      </c>
      <c r="C36" s="2" t="inlineStr">
        <is>
          <t>Mathematics -&gt; Applied Mathematics -&gt; Math Word Problems</t>
        </is>
      </c>
      <c r="D36" s="2" t="n">
        <v>3</v>
      </c>
      <c r="E36" s="2" t="inlineStr">
        <is>
          <t>I want to choose a license plate which is 3 characters long, where the first character is a letter, the last character i</t>
        </is>
      </c>
      <c r="F36" s="2" t="inlineStr">
        <is>
          <t>yes</t>
        </is>
      </c>
      <c r="G36" s="2" t="inlineStr">
        <is>
          <t>maps feasible equal pairs, disjoint-domain case decomposition</t>
        </is>
      </c>
      <c r="H36" s="2" t="inlineStr">
        <is>
          <t>unclear</t>
        </is>
      </c>
      <c r="I36" s="2" t="inlineStr">
        <is>
          <t>response is empty</t>
        </is>
      </c>
      <c r="J36" s="2" t="inlineStr">
        <is>
          <t>yes-&gt;unclear</t>
        </is>
      </c>
    </row>
    <row r="37">
      <c r="A37" s="2" t="n">
        <v>302</v>
      </c>
      <c r="B37" s="2" t="inlineStr">
        <is>
          <t>q_86232</t>
        </is>
      </c>
      <c r="C37" s="2" t="inlineStr">
        <is>
          <t>Mathematics -&gt; Geometry -&gt; Solid Geometry -&gt; 3D Shapes</t>
        </is>
      </c>
      <c r="D37" s="2" t="n">
        <v>5</v>
      </c>
      <c r="E37" s="2" t="inlineStr">
        <is>
          <t>Given that the dihedral angle \( M-AB-N \) is a right dihedral angle, and \( P \) is a point on the edge \( AB \). Lines</t>
        </is>
      </c>
      <c r="F37" s="2" t="inlineStr">
        <is>
          <t>yes</t>
        </is>
      </c>
      <c r="G37" s="2" t="inlineStr">
        <is>
          <t>edge-as-x-axis coordinates, unit direction vectors, dot product</t>
        </is>
      </c>
      <c r="H37" s="2" t="inlineStr">
        <is>
          <t>yes</t>
        </is>
      </c>
      <c r="I37" s="2" t="inlineStr">
        <is>
          <t>coordinate system on edge, direction vectors, dot product</t>
        </is>
      </c>
      <c r="J37" s="2" t="inlineStr">
        <is>
          <t>yes-&gt;yes</t>
        </is>
      </c>
    </row>
    <row r="38">
      <c r="A38" s="2" t="n">
        <v>311</v>
      </c>
      <c r="B38" s="2" t="inlineStr">
        <is>
          <t>q_63668</t>
        </is>
      </c>
      <c r="C38" s="2" t="inlineStr">
        <is>
          <t>Mathematics -&gt; Geometry -&gt; Solid Geometry -&gt; Surface Area</t>
        </is>
      </c>
      <c r="D38" s="2" t="n">
        <v>8</v>
      </c>
      <c r="E38" s="2" t="inlineStr">
        <is>
          <t xml:space="preserve">Calculate the surface area of the portion of the cone \(x^2 + y^2 = z^2\) that lies inside the sphere \(x^2 + y^2 + z^2 </t>
        </is>
      </c>
      <c r="F38" s="2" t="inlineStr">
        <is>
          <t>yes</t>
        </is>
      </c>
      <c r="G38" s="2" t="inlineStr">
        <is>
          <t>intersection by substitution, dS=sqrt2 dA times circle area</t>
        </is>
      </c>
      <c r="H38" s="2" t="inlineStr">
        <is>
          <t>yes</t>
        </is>
      </c>
      <c r="I38" s="2" t="inlineStr">
        <is>
          <t>completes square, intersection curve, constant dS multiple of area</t>
        </is>
      </c>
      <c r="J38" s="2" t="inlineStr">
        <is>
          <t>yes-&gt;yes</t>
        </is>
      </c>
    </row>
    <row r="39">
      <c r="A39" s="2" t="n">
        <v>320</v>
      </c>
      <c r="B39" s="2" t="inlineStr">
        <is>
          <t>q_4883</t>
        </is>
      </c>
      <c r="C39" s="2" t="inlineStr">
        <is>
          <t>Mathematics -&gt; Algebra -&gt; Abstract Algebra -&gt; Other</t>
        </is>
      </c>
      <c r="D39" s="2" t="n">
        <v>7.5</v>
      </c>
      <c r="E39" s="2" t="inlineStr">
        <is>
          <t xml:space="preserve">Find all functions \( f: \mathbb{R} \to \mathbb{R} \) such that for any real numbers \( x \) and \( y \), the following </t>
        </is>
      </c>
      <c r="F39" s="2" t="inlineStr">
        <is>
          <t>yes</t>
        </is>
      </c>
      <c r="G39" s="2" t="inlineStr">
        <is>
          <t>injectivity attempt, linear ansatz f=ax+b, verification</t>
        </is>
      </c>
      <c r="H39" s="2" t="inlineStr">
        <is>
          <t>yes</t>
        </is>
      </c>
      <c r="I39" s="2" t="inlineStr">
        <is>
          <t>injectivity, y=0 substitution, unwrapped to linear form, verified</t>
        </is>
      </c>
      <c r="J39" s="2" t="inlineStr">
        <is>
          <t>yes-&gt;yes</t>
        </is>
      </c>
    </row>
    <row r="40">
      <c r="A40" s="2" t="n">
        <v>331</v>
      </c>
      <c r="B40" s="2" t="inlineStr">
        <is>
          <t>q_46227</t>
        </is>
      </c>
      <c r="C40" s="2" t="inlineStr">
        <is>
          <t>Mathematics -&gt; Algebra -&gt; Abstract Algebra -&gt; Group Theory</t>
        </is>
      </c>
      <c r="D40" s="2" t="n">
        <v>5.5</v>
      </c>
      <c r="E40" s="2" t="inlineStr">
        <is>
          <t>Determine the size of the conjugacy class of a 2+2+1 cycle in the alternating group A5.</t>
        </is>
      </c>
      <c r="F40" s="2" t="inlineStr">
        <is>
          <t>yes</t>
        </is>
      </c>
      <c r="G40" s="2" t="inlineStr">
        <is>
          <t>S5 class-size formula, splitting criterion, no split conclusion</t>
        </is>
      </c>
      <c r="H40" s="2" t="inlineStr">
        <is>
          <t>yes</t>
        </is>
      </c>
      <c r="I40" s="2" t="inlineStr">
        <is>
          <t>used S_n class formula then splitting criterion</t>
        </is>
      </c>
      <c r="J40" s="2" t="inlineStr">
        <is>
          <t>yes-&gt;yes</t>
        </is>
      </c>
    </row>
    <row r="41">
      <c r="A41" s="2" t="n">
        <v>346</v>
      </c>
      <c r="B41" s="2" t="inlineStr">
        <is>
          <t>q_86186</t>
        </is>
      </c>
      <c r="C41" s="2" t="inlineStr">
        <is>
          <t>Mathematics -&gt; Calculus -&gt; Differential Calculus -&gt; Applications of Derivatives</t>
        </is>
      </c>
      <c r="D41" s="2" t="n">
        <v>4.5</v>
      </c>
      <c r="E41" s="2" t="inlineStr">
        <is>
          <t>Find the minimum length of segment \(AB\) where point \(A\) lies on the line \(y = \frac{15}{8}x - 8\) and point \(B\) l</t>
        </is>
      </c>
      <c r="F41" s="2" t="inlineStr">
        <is>
          <t>yes</t>
        </is>
      </c>
      <c r="G41" s="2" t="inlineStr">
        <is>
          <t>parallel tangent point, perpendicular distance formula</t>
        </is>
      </c>
      <c r="H41" s="2" t="inlineStr">
        <is>
          <t>unclear</t>
        </is>
      </c>
      <c r="I41" s="2" t="inlineStr">
        <is>
          <t>found parallel tangent but used vertical, not perpendicular, distance</t>
        </is>
      </c>
      <c r="J41" s="2" t="inlineStr">
        <is>
          <t>yes-&gt;unclear</t>
        </is>
      </c>
    </row>
    <row r="42">
      <c r="A42" s="2" t="n">
        <v>347</v>
      </c>
      <c r="B42" s="2" t="inlineStr">
        <is>
          <t>q_1316</t>
        </is>
      </c>
      <c r="C42" s="2" t="inlineStr">
        <is>
          <t>Mathematics -&gt; Number Theory -&gt; Other</t>
        </is>
      </c>
      <c r="D42" s="2" t="n">
        <v>4</v>
      </c>
      <c r="E42" s="2" t="inlineStr">
        <is>
          <t>Find the smallest positive integer $x$ such that $x^2$ starts with the digits 2017.</t>
        </is>
      </c>
      <c r="F42" s="2" t="inlineStr">
        <is>
          <t>yes</t>
        </is>
      </c>
      <c r="G42" s="2" t="inlineStr">
        <is>
          <t>range inequality, interval width W(k), iterated k upward</t>
        </is>
      </c>
      <c r="H42" s="2" t="inlineStr">
        <is>
          <t>yes</t>
        </is>
      </c>
      <c r="I42" s="2" t="inlineStr">
        <is>
          <t>Range inequality, interval width analysis, iterated k upward</t>
        </is>
      </c>
      <c r="J42" s="2" t="inlineStr">
        <is>
          <t>yes-&gt;yes</t>
        </is>
      </c>
    </row>
    <row r="43">
      <c r="A43" s="2" t="n">
        <v>356</v>
      </c>
      <c r="B43" s="2" t="inlineStr">
        <is>
          <t>q_49002</t>
        </is>
      </c>
      <c r="C43" s="2" t="inlineStr">
        <is>
          <t>Mathematics -&gt; Other</t>
        </is>
      </c>
      <c r="D43" s="2" t="n">
        <v>7</v>
      </c>
      <c r="E43" s="2" t="inlineStr">
        <is>
          <t>Is it possible to define a Borel \(\sigma\)-algebra on a topological space that is not second countable?</t>
        </is>
      </c>
      <c r="F43" s="2" t="inlineStr">
        <is>
          <t>yes</t>
        </is>
      </c>
      <c r="G43" s="2" t="inlineStr">
        <is>
          <t>universal-property existence argument plus uncountable discrete space example</t>
        </is>
      </c>
      <c r="H43" s="2" t="inlineStr">
        <is>
          <t>yes</t>
        </is>
      </c>
      <c r="I43" s="2" t="inlineStr">
        <is>
          <t>existence via generated sigma-algebra; uncountable discrete example</t>
        </is>
      </c>
      <c r="J43" s="2" t="inlineStr">
        <is>
          <t>yes-&gt;yes</t>
        </is>
      </c>
    </row>
    <row r="44">
      <c r="A44" s="2" t="n">
        <v>365</v>
      </c>
      <c r="B44" s="2" t="inlineStr">
        <is>
          <t>q_43770</t>
        </is>
      </c>
      <c r="C44" s="2" t="inlineStr">
        <is>
          <t>Mathematics -&gt; Number Theory -&gt; Congruences</t>
        </is>
      </c>
      <c r="D44" s="2" t="n">
        <v>6</v>
      </c>
      <c r="E44" s="2" t="inlineStr">
        <is>
          <t>Find the value of $k$ such that the fractional part of the number $\frac{3^{500}}{17}$ is $\frac{k}{17}$.</t>
        </is>
      </c>
      <c r="F44" s="2" t="inlineStr">
        <is>
          <t>yes</t>
        </is>
      </c>
      <c r="G44" s="2" t="inlineStr">
        <is>
          <t>fractional part as remainder, Fermat exponent reduction mod 16</t>
        </is>
      </c>
      <c r="H44" s="2" t="inlineStr">
        <is>
          <t>yes</t>
        </is>
      </c>
      <c r="I44" s="2" t="inlineStr">
        <is>
          <t>reduced to remainder, Fermat's little theorem, successive squaring</t>
        </is>
      </c>
      <c r="J44" s="2" t="inlineStr">
        <is>
          <t>yes-&gt;yes</t>
        </is>
      </c>
    </row>
    <row r="45">
      <c r="A45" s="2" t="n">
        <v>391</v>
      </c>
      <c r="B45" s="2" t="inlineStr">
        <is>
          <t>q_9424</t>
        </is>
      </c>
      <c r="C45" s="2" t="inlineStr">
        <is>
          <t>Mathematics -&gt; Calculus -&gt; Differential Calculus -&gt; Applications of Derivatives</t>
        </is>
      </c>
      <c r="D45" s="2" t="n">
        <v>6.5</v>
      </c>
      <c r="E45" s="2" t="inlineStr">
        <is>
          <t>Determine the order of the pole of the function \( \frac{1}{(2\cos z -2 +z^2)^2} \) at \( z=0 \).</t>
        </is>
      </c>
      <c r="F45" s="2" t="inlineStr">
        <is>
          <t>yes</t>
        </is>
      </c>
      <c r="G45" s="2" t="inlineStr">
        <is>
          <t>Taylor expansion for zero order, multiplied by exponent</t>
        </is>
      </c>
      <c r="H45" s="2" t="inlineStr">
        <is>
          <t>yes</t>
        </is>
      </c>
      <c r="I45" s="2" t="inlineStr">
        <is>
          <t>Taylor series zero order four, multiplied by exponent two</t>
        </is>
      </c>
      <c r="J45" s="2" t="inlineStr">
        <is>
          <t>yes-&gt;yes</t>
        </is>
      </c>
    </row>
    <row r="46">
      <c r="A46" s="2" t="n">
        <v>397</v>
      </c>
      <c r="B46" s="2" t="inlineStr">
        <is>
          <t>q_50218</t>
        </is>
      </c>
      <c r="C46" s="2" t="inlineStr">
        <is>
          <t>Mathematics -&gt; Algebra -&gt; Linear Algebra -&gt; Determinants</t>
        </is>
      </c>
      <c r="D46" s="2" t="n">
        <v>5.5</v>
      </c>
      <c r="E46" s="2" t="inlineStr">
        <is>
          <t>Calculate the determinant of the following tridiagonal matrix: \[\det\begin{pmatrix} 5 &amp; 6 &amp; 0 &amp; 0 &amp; 0 &amp; \cdots &amp; 0 \\ 4</t>
        </is>
      </c>
      <c r="F46" s="2" t="inlineStr">
        <is>
          <t>yes</t>
        </is>
      </c>
      <c r="G46" s="2" t="inlineStr">
        <is>
          <t>Base cases, recurrence, characteristic equation, solved constants</t>
        </is>
      </c>
      <c r="H46" s="2" t="inlineStr">
        <is>
          <t>yes</t>
        </is>
      </c>
      <c r="I46" s="2" t="inlineStr">
        <is>
          <t>recurrence, base cases, characteristic equation closed form</t>
        </is>
      </c>
      <c r="J46" s="2" t="inlineStr">
        <is>
          <t>yes-&gt;yes</t>
        </is>
      </c>
    </row>
    <row r="47">
      <c r="A47" s="2" t="n">
        <v>417</v>
      </c>
      <c r="B47" s="2" t="inlineStr">
        <is>
          <t>q_70302</t>
        </is>
      </c>
      <c r="C47" s="2" t="inlineStr">
        <is>
          <t>Mathematics -&gt; Calculus -&gt; Differential Calculus -&gt; Applications of Derivatives</t>
        </is>
      </c>
      <c r="D47" s="2" t="n">
        <v>6</v>
      </c>
      <c r="E47" s="2" t="inlineStr">
        <is>
          <t xml:space="preserve">Estimate the supremum of \(|f_n(x) - x|\) for the function \(f_n(x) = x + x^n(1 - x)^n\) on the interval \([0,1]\) in a </t>
        </is>
      </c>
      <c r="F47" s="2" t="inlineStr">
        <is>
          <t>yes</t>
        </is>
      </c>
      <c r="G47" s="2" t="inlineStr">
        <is>
          <t>isolated error term, maximized base x(1-x) by symmetry</t>
        </is>
      </c>
      <c r="H47" s="2" t="inlineStr">
        <is>
          <t>yes</t>
        </is>
      </c>
      <c r="I47" s="2" t="inlineStr">
        <is>
          <t>Isolated error term, maximized base function at midpoint</t>
        </is>
      </c>
      <c r="J47" s="2" t="inlineStr">
        <is>
          <t>yes-&gt;yes</t>
        </is>
      </c>
    </row>
    <row r="48">
      <c r="A48" s="2" t="n">
        <v>419</v>
      </c>
      <c r="B48" s="2" t="inlineStr">
        <is>
          <t>q_64007</t>
        </is>
      </c>
      <c r="C48" s="2" t="inlineStr">
        <is>
          <t>Mathematics -&gt; Calculus -&gt; Differential Calculus -&gt; Derivatives</t>
        </is>
      </c>
      <c r="D48" s="2" t="n">
        <v>6</v>
      </c>
      <c r="E48" s="2" t="inlineStr">
        <is>
          <t>Given the function \( f(x) = x^5 - x^3 + 2x \), find \( g'(2) \), where \( g \) is the inverse function of \( f \).</t>
        </is>
      </c>
      <c r="F48" s="2" t="inlineStr">
        <is>
          <t>yes</t>
        </is>
      </c>
      <c r="G48" s="2" t="inlineStr">
        <is>
          <t>inverse function theorem, root inspection x=1, 1/f'(1)</t>
        </is>
      </c>
      <c r="H48" s="2" t="inlineStr">
        <is>
          <t>yes</t>
        </is>
      </c>
      <c r="I48" s="2" t="inlineStr">
        <is>
          <t>inverse function theorem with integer root inspection</t>
        </is>
      </c>
      <c r="J48" s="2" t="inlineStr">
        <is>
          <t>yes-&gt;yes</t>
        </is>
      </c>
    </row>
    <row r="49">
      <c r="A49" s="2" t="n">
        <v>431</v>
      </c>
      <c r="B49" s="2" t="inlineStr">
        <is>
          <t>q_3256</t>
        </is>
      </c>
      <c r="C49" s="2" t="inlineStr">
        <is>
          <t>Mathematics -&gt; Algebra -&gt; Abstract Algebra -&gt; Group Theory</t>
        </is>
      </c>
      <c r="D49" s="2" t="n">
        <v>7.5</v>
      </c>
      <c r="E49" s="2" t="inlineStr">
        <is>
          <t>Let $G$ be a finite group with a unique minimal subgroup, and suppose $G$ is a $p$-group with $p \neq 2$. Is it true tha</t>
        </is>
      </c>
      <c r="F49" s="2" t="inlineStr">
        <is>
          <t>yes</t>
        </is>
      </c>
      <c r="G49" s="2" t="inlineStr">
        <is>
          <t>unique order-p subgroup, odd p excludes quaternion, cyclic hereditary</t>
        </is>
      </c>
      <c r="H49" s="2" t="inlineStr">
        <is>
          <t>yes</t>
        </is>
      </c>
      <c r="I49" s="2" t="inlineStr">
        <is>
          <t>odd p unique order-p subgroup implies cyclic, hereditary property</t>
        </is>
      </c>
      <c r="J49" s="2" t="inlineStr">
        <is>
          <t>yes-&gt;yes</t>
        </is>
      </c>
    </row>
    <row r="50">
      <c r="A50" s="2" t="n">
        <v>440</v>
      </c>
      <c r="B50" s="2" t="inlineStr">
        <is>
          <t>q_72705</t>
        </is>
      </c>
      <c r="C50" s="2" t="inlineStr">
        <is>
          <t>Mathematics -&gt; Discrete Mathematics -&gt; Combinatorics</t>
        </is>
      </c>
      <c r="D50" s="2" t="n">
        <v>5.5</v>
      </c>
      <c r="E50" s="2" t="inlineStr">
        <is>
          <t>Calculate the exponential generating function of the sequence \((a_n)_{n\in \mathbb{N}}\) where \(a_n = 3^n + 7^n\).</t>
        </is>
      </c>
      <c r="F50" s="2" t="inlineStr">
        <is>
          <t>yes</t>
        </is>
      </c>
      <c r="G50" s="2" t="inlineStr">
        <is>
          <t>linearity plus e^{cx} mapping for each geometric term</t>
        </is>
      </c>
      <c r="H50" s="2" t="inlineStr">
        <is>
          <t>yes</t>
        </is>
      </c>
      <c r="I50" s="2" t="inlineStr">
        <is>
          <t>linearity plus c^n maps to e^{cx}</t>
        </is>
      </c>
      <c r="J50" s="2" t="inlineStr">
        <is>
          <t>yes-&gt;yes</t>
        </is>
      </c>
    </row>
    <row r="51">
      <c r="A51" s="2" t="n">
        <v>448</v>
      </c>
      <c r="B51" s="2" t="inlineStr">
        <is>
          <t>q_43620</t>
        </is>
      </c>
      <c r="C51" s="2" t="inlineStr">
        <is>
          <t>Mathematics -&gt; Algebra -&gt; Abstract Algebra -&gt; Group Theory</t>
        </is>
      </c>
      <c r="D51" s="2" t="n">
        <v>6</v>
      </c>
      <c r="E51" s="2" t="inlineStr">
        <is>
          <t>Determine whether a finite nonabelian group can have a proper normal subgroup that is also nonabelian.</t>
        </is>
      </c>
      <c r="F51" s="2" t="inlineStr">
        <is>
          <t>yes</t>
        </is>
      </c>
      <c r="G51" s="2" t="inlineStr">
        <is>
          <t>checked S3, Q8, A4, A5 small-group hierarchy explicitly</t>
        </is>
      </c>
      <c r="H51" s="2" t="inlineStr">
        <is>
          <t>yes</t>
        </is>
      </c>
      <c r="I51" s="2" t="inlineStr">
        <is>
          <t>small group hierarchy check S3, Q8, A4, A5</t>
        </is>
      </c>
      <c r="J51" s="2" t="inlineStr">
        <is>
          <t>yes-&gt;yes</t>
        </is>
      </c>
    </row>
    <row r="52">
      <c r="A52" s="2" t="n">
        <v>449</v>
      </c>
      <c r="B52" s="2" t="inlineStr">
        <is>
          <t>q_91567</t>
        </is>
      </c>
      <c r="C52" s="2" t="inlineStr">
        <is>
          <t>Mathematics -&gt; Algebra -&gt; Algebra -&gt; Polynomial Operations</t>
        </is>
      </c>
      <c r="D52" s="2" t="n">
        <v>7.5</v>
      </c>
      <c r="E52" s="2" t="inlineStr">
        <is>
          <t xml:space="preserve">Determine whether there exists a polynomial \( f(x) \) of degree 6 such that for all \( x \), the equation \( f(\sin x) </t>
        </is>
      </c>
      <c r="F52" s="2" t="inlineStr">
        <is>
          <t>yes</t>
        </is>
      </c>
      <c r="G52" s="2" t="inlineStr">
        <is>
          <t>centering g=f-1/2, u=sin^2x substitution, odd-power construction</t>
        </is>
      </c>
      <c r="H52" s="2" t="inlineStr">
        <is>
          <t>yes</t>
        </is>
      </c>
      <c r="I52" s="2" t="inlineStr">
        <is>
          <t>centering g=f-1/2, u-substitution, odd powers about midpoint</t>
        </is>
      </c>
      <c r="J52" s="2" t="inlineStr">
        <is>
          <t>yes-&gt;yes</t>
        </is>
      </c>
    </row>
    <row r="53">
      <c r="A53" s="2" t="n">
        <v>455</v>
      </c>
      <c r="B53" s="2" t="inlineStr">
        <is>
          <t>q_84701</t>
        </is>
      </c>
      <c r="C53" s="2" t="inlineStr">
        <is>
          <t>Mathematics -&gt; Geometry -&gt; Plane Geometry -&gt; Triangulations</t>
        </is>
      </c>
      <c r="D53" s="2" t="n">
        <v>4.5</v>
      </c>
      <c r="E53" s="2" t="inlineStr">
        <is>
          <t>Find the minimum value of the expression $PA + PB + PC + PD$, where $P$ is any point in the plane and $A(0, 1)$, $B(1, 1</t>
        </is>
      </c>
      <c r="F53" s="2" t="inlineStr">
        <is>
          <t>yes</t>
        </is>
      </c>
      <c r="G53" s="2" t="inlineStr">
        <is>
          <t>geometric median as diagonal intersection of convex quadrilateral</t>
        </is>
      </c>
      <c r="H53" s="2" t="inlineStr">
        <is>
          <t>yes</t>
        </is>
      </c>
      <c r="I53" s="2" t="inlineStr">
        <is>
          <t>Convex quadrilateral diagonal intersection as geometric median</t>
        </is>
      </c>
      <c r="J53" s="2" t="inlineStr">
        <is>
          <t>yes-&gt;yes</t>
        </is>
      </c>
    </row>
    <row r="54">
      <c r="A54" s="2" t="n">
        <v>478</v>
      </c>
      <c r="B54" s="2" t="inlineStr">
        <is>
          <t>q_56457</t>
        </is>
      </c>
      <c r="C54" s="2" t="inlineStr">
        <is>
          <t>Mathematics -&gt; Calculus -&gt; Differential Calculus -&gt; Applications of Derivatives</t>
        </is>
      </c>
      <c r="D54" s="2" t="n">
        <v>5</v>
      </c>
      <c r="E54" s="2" t="inlineStr">
        <is>
          <t>Determine the limit inferior of the sequence of functions \( f_n = \mathbb{1}_{[n,n+1]} \), where \( \mathbb{1}_{[n,n+1]</t>
        </is>
      </c>
      <c r="F54" s="2" t="inlineStr">
        <is>
          <t>yes</t>
        </is>
      </c>
      <c r="G54" s="2" t="inlineStr">
        <is>
          <t>fixed x, eventually zero sequence, liminf zero function</t>
        </is>
      </c>
      <c r="H54" s="2" t="inlineStr">
        <is>
          <t>yes</t>
        </is>
      </c>
      <c r="I54" s="2" t="inlineStr">
        <is>
          <t>fixed arbitrary x, showed sequence eventually zero pointwise</t>
        </is>
      </c>
      <c r="J54" s="2" t="inlineStr">
        <is>
          <t>yes-&gt;yes</t>
        </is>
      </c>
    </row>
    <row r="55">
      <c r="A55" s="2" t="n">
        <v>544</v>
      </c>
      <c r="B55" s="2" t="inlineStr">
        <is>
          <t>q_24192</t>
        </is>
      </c>
      <c r="C55" s="2" t="inlineStr">
        <is>
          <t>Mathematics -&gt; Applied Mathematics -&gt; Statistics -&gt; Mathematical Statistics</t>
        </is>
      </c>
      <c r="D55" s="2" t="n">
        <v>7</v>
      </c>
      <c r="E55" s="2" t="inlineStr">
        <is>
          <t xml:space="preserve">Given the linear regression model with the design matrix \(X = [x_1 \mid x_2 \mid \cdots\mid x_p] \in\mathbb R^{n\times </t>
        </is>
      </c>
      <c r="F55" s="2" t="inlineStr">
        <is>
          <t>yes</t>
        </is>
      </c>
      <c r="G55" s="2" t="inlineStr">
        <is>
          <t>block quadratic form R2, identity block, substituted a2=10||z||2</t>
        </is>
      </c>
      <c r="H55" s="2" t="inlineStr">
        <is>
          <t>yes</t>
        </is>
      </c>
      <c r="I55" s="2" t="inlineStr">
        <is>
          <t>block quadratic form, ||z||^2/a^2 substitution</t>
        </is>
      </c>
      <c r="J55" s="2" t="inlineStr">
        <is>
          <t>yes-&gt;yes</t>
        </is>
      </c>
    </row>
    <row r="56">
      <c r="A56" s="2" t="n">
        <v>546</v>
      </c>
      <c r="B56" s="2" t="inlineStr">
        <is>
          <t>q_55813</t>
        </is>
      </c>
      <c r="C56" s="2" t="inlineStr">
        <is>
          <t>Mathematics -&gt; Applied Mathematics -&gt; Statistics -&gt; Probability -&gt; Counting Methods -&gt; Combinations</t>
        </is>
      </c>
      <c r="D56" s="2" t="n">
        <v>5</v>
      </c>
      <c r="E56" s="2" t="inlineStr">
        <is>
          <t>Calculate the expected value of the absolute sum of two independent variables $x$ and $y$, each uniformly distributed be</t>
        </is>
      </c>
      <c r="F56" s="2" t="inlineStr">
        <is>
          <t>yes</t>
        </is>
      </c>
      <c r="G56" s="2" t="inlineStr">
        <is>
          <t>triangular convolution PDF, symmetry-halved integral</t>
        </is>
      </c>
      <c r="H56" s="2" t="inlineStr">
        <is>
          <t>yes</t>
        </is>
      </c>
      <c r="I56" s="2" t="inlineStr">
        <is>
          <t>triangular convolution pdf, symmetry doubling integral for E|Z|</t>
        </is>
      </c>
      <c r="J56" s="2" t="inlineStr">
        <is>
          <t>yes-&gt;yes</t>
        </is>
      </c>
    </row>
    <row r="57">
      <c r="A57" s="2" t="n">
        <v>567</v>
      </c>
      <c r="B57" s="2" t="inlineStr">
        <is>
          <t>q_72131</t>
        </is>
      </c>
      <c r="C57" s="2" t="inlineStr">
        <is>
          <t>Mathematics -&gt; Precalculus -&gt; Limits</t>
        </is>
      </c>
      <c r="D57" s="2" t="n">
        <v>7</v>
      </c>
      <c r="E57" s="2" t="inlineStr">
        <is>
          <t>Evaluate the limit: \[ \lim_{x\to0}\dfrac{(1+x)\left(1+\frac{x}{2}\right)^2\cdots\left(1+\frac{x}{m}\right)^m-1}{(1+x)\s</t>
        </is>
      </c>
      <c r="F57" s="2" t="inlineStr">
        <is>
          <t>yes</t>
        </is>
      </c>
      <c r="G57" s="2" t="inlineStr">
        <is>
          <t>log-transformed products, first-order Taylor, ratio of linear coefficients</t>
        </is>
      </c>
      <c r="H57" s="2" t="inlineStr">
        <is>
          <t>yes</t>
        </is>
      </c>
      <c r="I57" s="2" t="inlineStr">
        <is>
          <t>binomial approximations, leading-order coefficient ratio</t>
        </is>
      </c>
      <c r="J57" s="2" t="inlineStr">
        <is>
          <t>yes-&gt;yes</t>
        </is>
      </c>
    </row>
    <row r="58">
      <c r="A58" s="2" t="n">
        <v>575</v>
      </c>
      <c r="B58" s="2" t="inlineStr">
        <is>
          <t>q_18064</t>
        </is>
      </c>
      <c r="C58" s="2" t="inlineStr">
        <is>
          <t>Mathematics -&gt; Geometry -&gt; Plane Geometry -&gt; Polygons</t>
        </is>
      </c>
      <c r="D58" s="2" t="n">
        <v>5</v>
      </c>
      <c r="E58" s="2" t="inlineStr">
        <is>
          <t>Find the ratio \( \frac{R}{r} \) where \( R \) is the radius of the circumscribed circle of a trapezoid and \( r \) is t</t>
        </is>
      </c>
      <c r="F58" s="2" t="inlineStr">
        <is>
          <t>yes</t>
        </is>
      </c>
      <c r="G58" s="2" t="inlineStr">
        <is>
          <t>coordinate circumradius, r=h/2, evaluated symmetric square case</t>
        </is>
      </c>
      <c r="H58" s="2" t="inlineStr">
        <is>
          <t>yes</t>
        </is>
      </c>
      <c r="I58" s="2" t="inlineStr">
        <is>
          <t>bicentric conditions, coordinate circumradius, r=h/2; skipped square test</t>
        </is>
      </c>
      <c r="J58" s="2" t="inlineStr">
        <is>
          <t>yes-&gt;yes</t>
        </is>
      </c>
    </row>
    <row r="59">
      <c r="A59" s="2" t="n">
        <v>592</v>
      </c>
      <c r="B59" s="2" t="inlineStr">
        <is>
          <t>q_100183</t>
        </is>
      </c>
      <c r="C59" s="2" t="inlineStr">
        <is>
          <t>Mathematics -&gt; Algebra -&gt; Prealgebra -&gt; Integers</t>
        </is>
      </c>
      <c r="D59" s="2" t="n">
        <v>4</v>
      </c>
      <c r="E59" s="2" t="inlineStr">
        <is>
          <t>What is the least positive integer $n$ such that $80325$ divides $n!$?</t>
        </is>
      </c>
      <c r="F59" s="2" t="inlineStr">
        <is>
          <t>yes</t>
        </is>
      </c>
      <c r="G59" s="2" t="inlineStr">
        <is>
          <t>prime factorization, per-prime minimum n, took maximum</t>
        </is>
      </c>
      <c r="H59" s="2" t="inlineStr">
        <is>
          <t>yes</t>
        </is>
      </c>
      <c r="I59" s="2" t="inlineStr">
        <is>
          <t>prime factorization, Legendre, max of minimums</t>
        </is>
      </c>
      <c r="J59" s="2" t="inlineStr">
        <is>
          <t>yes-&gt;yes</t>
        </is>
      </c>
    </row>
    <row r="60">
      <c r="A60" s="2" t="n">
        <v>596</v>
      </c>
      <c r="B60" s="2" t="inlineStr">
        <is>
          <t>q_3760</t>
        </is>
      </c>
      <c r="C60" s="2" t="inlineStr">
        <is>
          <t>Mathematics -&gt; Calculus -&gt; Integral Calculus -&gt; Techniques of Integration -&gt; Multi-variable</t>
        </is>
      </c>
      <c r="D60" s="2" t="n">
        <v>7.5</v>
      </c>
      <c r="E60" s="2" t="inlineStr">
        <is>
          <t>A plane region $R$ is bounded by a piecewise smooth Jordan curve $C$. The moments of inertia of $R$ about the $x$- and $</t>
        </is>
      </c>
      <c r="F60" s="2" t="inlineStr">
        <is>
          <t>yes</t>
        </is>
      </c>
      <c r="G60" s="2" t="inlineStr">
        <is>
          <t>divergence theorem, Cartesian Laplacian, substituted moments of inertia</t>
        </is>
      </c>
      <c r="H60" s="2" t="inlineStr">
        <is>
          <t>yes</t>
        </is>
      </c>
      <c r="I60" s="2" t="inlineStr">
        <is>
          <t>divergence theorem, Cartesian expansion, substituted moments of inertia</t>
        </is>
      </c>
      <c r="J60" s="2" t="inlineStr">
        <is>
          <t>yes-&gt;yes</t>
        </is>
      </c>
    </row>
    <row r="61">
      <c r="A61" s="2" t="n">
        <v>610</v>
      </c>
      <c r="B61" s="2" t="inlineStr">
        <is>
          <t>q_98346</t>
        </is>
      </c>
      <c r="C61" s="2" t="inlineStr">
        <is>
          <t>Mathematics -&gt; Algebra -&gt; Algebra -&gt; Equations and Inequalities</t>
        </is>
      </c>
      <c r="D61" s="2" t="n">
        <v>5</v>
      </c>
      <c r="E61" s="2" t="inlineStr">
        <is>
          <t>Solve for $x$: $$\dfrac{66-2^x}{2^x+3}=\dfrac{4-2^x}{2^{x+1}+6}$$</t>
        </is>
      </c>
      <c r="F61" s="2" t="inlineStr">
        <is>
          <t>yes</t>
        </is>
      </c>
      <c r="G61" s="2" t="inlineStr">
        <is>
          <t>recognized denominator multiple, cancelled, expressed 128 as 2^7</t>
        </is>
      </c>
      <c r="H61" s="2" t="inlineStr">
        <is>
          <t>yes</t>
        </is>
      </c>
      <c r="I61" s="2" t="inlineStr">
        <is>
          <t>recognized denominator scalar multiple, canceled, solved 2^x=2^7</t>
        </is>
      </c>
      <c r="J61" s="2" t="inlineStr">
        <is>
          <t>yes-&gt;yes</t>
        </is>
      </c>
    </row>
    <row r="62">
      <c r="A62" s="2" t="n">
        <v>615</v>
      </c>
      <c r="B62" s="2" t="inlineStr">
        <is>
          <t>q_64624</t>
        </is>
      </c>
      <c r="C62" s="2" t="inlineStr">
        <is>
          <t>Mathematics -&gt; Calculus -&gt; Integral Calculus -&gt; Techniques of Integration -&gt; Single-variable</t>
        </is>
      </c>
      <c r="D62" s="2" t="n">
        <v>7</v>
      </c>
      <c r="E62" s="2" t="inlineStr">
        <is>
          <t>Evaluate \(\lim_{n\to\infty} \sum_{m=1}^n \left(\left(1+\frac{m^2}{n^3}\right)^{1/4}-1\right).\)</t>
        </is>
      </c>
      <c r="F62" s="2" t="inlineStr">
        <is>
          <t>yes</t>
        </is>
      </c>
      <c r="G62" s="2" t="inlineStr">
        <is>
          <t>binomial linearization then power-sum evaluation of limit</t>
        </is>
      </c>
      <c r="H62" s="2" t="inlineStr">
        <is>
          <t>yes</t>
        </is>
      </c>
      <c r="I62" s="2" t="inlineStr">
        <is>
          <t>Binomial linearization, power sums, remainder vanishes</t>
        </is>
      </c>
      <c r="J62" s="2" t="inlineStr">
        <is>
          <t>yes-&gt;yes</t>
        </is>
      </c>
    </row>
    <row r="63">
      <c r="A63" s="2" t="n">
        <v>616</v>
      </c>
      <c r="B63" s="2" t="inlineStr">
        <is>
          <t>q_20846</t>
        </is>
      </c>
      <c r="C63" s="2" t="inlineStr">
        <is>
          <t>Mathematics -&gt; Algebra -&gt; Abstract Algebra -&gt; Ring Theory</t>
        </is>
      </c>
      <c r="D63" s="2" t="n">
        <v>7.5</v>
      </c>
      <c r="E63" s="2" t="inlineStr">
        <is>
          <t>Determine the negative integer \(d\equiv 2\pmod{4} \) for which the ring of integers in \(\mathbb{Q}(\sqrt{d})\) is a un</t>
        </is>
      </c>
      <c r="F63" s="2" t="inlineStr">
        <is>
          <t>yes</t>
        </is>
      </c>
      <c r="G63" s="2" t="inlineStr">
        <is>
          <t>Heegner list candidates filtered by D=4d parity constraint</t>
        </is>
      </c>
      <c r="H63" s="2" t="inlineStr">
        <is>
          <t>yes</t>
        </is>
      </c>
      <c r="I63" s="2" t="inlineStr">
        <is>
          <t>Heegner list plus D=4d filtering, executed sloppily</t>
        </is>
      </c>
      <c r="J63" s="2" t="inlineStr">
        <is>
          <t>yes-&gt;yes</t>
        </is>
      </c>
    </row>
    <row r="64">
      <c r="A64" s="2" t="n">
        <v>621</v>
      </c>
      <c r="B64" s="2" t="inlineStr">
        <is>
          <t>q_50517</t>
        </is>
      </c>
      <c r="C64" s="2" t="inlineStr">
        <is>
          <t>Mathematics -&gt; Calculus -&gt; Integral Calculus -&gt; Techniques of Integration -&gt; Single-variable</t>
        </is>
      </c>
      <c r="D64" s="2" t="n">
        <v>7.5</v>
      </c>
      <c r="E64" s="2" t="inlineStr">
        <is>
          <t>Determine if the Dominated Convergence Theorem can be applied to evaluate the limit \(\lim_{n\to \infty}\int_0^1 \frac{\</t>
        </is>
      </c>
      <c r="F64" s="2" t="inlineStr">
        <is>
          <t>yes</t>
        </is>
      </c>
      <c r="G64" s="2" t="inlineStr">
        <is>
          <t>checked pointwise convergence fails, applied Riemann-Lebesgue instead</t>
        </is>
      </c>
      <c r="H64" s="2" t="inlineStr">
        <is>
          <t>yes</t>
        </is>
      </c>
      <c r="I64" s="2" t="inlineStr">
        <is>
          <t>checks pointwise convergence and domination, DCT fails</t>
        </is>
      </c>
      <c r="J64" s="2" t="inlineStr">
        <is>
          <t>yes-&gt;yes</t>
        </is>
      </c>
    </row>
    <row r="65">
      <c r="A65" s="2" t="n">
        <v>622</v>
      </c>
      <c r="B65" s="2" t="inlineStr">
        <is>
          <t>q_29489</t>
        </is>
      </c>
      <c r="C65" s="2" t="inlineStr">
        <is>
          <t>Mathematics -&gt; Calculus -&gt; Integral Calculus -&gt; Applications of Integrals</t>
        </is>
      </c>
      <c r="D65" s="2" t="n">
        <v>8</v>
      </c>
      <c r="E65" s="2" t="inlineStr">
        <is>
          <t>Determine the largest possible value of \(|f''(0)|\) for an analytic function \(f\) in the disk \(D = \{z \in \mathbb{C}</t>
        </is>
      </c>
      <c r="F65" s="2" t="inlineStr">
        <is>
          <t>yes</t>
        </is>
      </c>
      <c r="G65" s="2" t="inlineStr">
        <is>
          <t>Bergman norm sum, concentrated budget on a_2 coefficient</t>
        </is>
      </c>
      <c r="H65" s="2" t="inlineStr">
        <is>
          <t>yes</t>
        </is>
      </c>
      <c r="I65" s="2" t="inlineStr">
        <is>
          <t>Bergman norm sum, concentrated budget on a_2</t>
        </is>
      </c>
      <c r="J65" s="2" t="inlineStr">
        <is>
          <t>yes-&gt;yes</t>
        </is>
      </c>
    </row>
    <row r="66">
      <c r="A66" s="2" t="n">
        <v>637</v>
      </c>
      <c r="B66" s="2" t="inlineStr">
        <is>
          <t>q_2823</t>
        </is>
      </c>
      <c r="C66" s="2" t="inlineStr">
        <is>
          <t>Mathematics -&gt; Applied Mathematics -&gt; Statistics -&gt; Probability -&gt; Counting Methods -&gt; Combinations</t>
        </is>
      </c>
      <c r="D66" s="2" t="n">
        <v>4.5</v>
      </c>
      <c r="E66" s="2" t="inlineStr">
        <is>
          <t>Twelve politicians are seated at a round table. A committee of five is to be chosen such that no two committee members a</t>
        </is>
      </c>
      <c r="F66" s="2" t="inlineStr">
        <is>
          <t>yes</t>
        </is>
      </c>
      <c r="G66" s="2" t="inlineStr">
        <is>
          <t>applies Kaplansky circular lemma formula directly</t>
        </is>
      </c>
      <c r="H66" s="2" t="inlineStr">
        <is>
          <t>yes</t>
        </is>
      </c>
      <c r="I66" s="2" t="inlineStr">
        <is>
          <t>applied Kaplansky circular formula n/k C(n-k-1,k-1)</t>
        </is>
      </c>
      <c r="J66" s="2" t="inlineStr">
        <is>
          <t>yes-&gt;yes</t>
        </is>
      </c>
    </row>
    <row r="67">
      <c r="A67" s="2" t="n">
        <v>654</v>
      </c>
      <c r="B67" s="2" t="inlineStr">
        <is>
          <t>q_97481</t>
        </is>
      </c>
      <c r="C67" s="2" t="inlineStr">
        <is>
          <t>Mathematics -&gt; Algebra -&gt; Algebra -&gt; Equations and Inequalities</t>
        </is>
      </c>
      <c r="D67" s="2" t="n">
        <v>5</v>
      </c>
      <c r="E67" s="2" t="inlineStr">
        <is>
          <t>$f(x)$ is a monic polynomial such that $f(0)=4$ and $f(1)=10$. If $f(x)$ has degree $2$, what is $f(x)$? Express your an</t>
        </is>
      </c>
      <c r="F67" s="2" t="inlineStr">
        <is>
          <t>yes</t>
        </is>
      </c>
      <c r="G67" s="2" t="inlineStr">
        <is>
          <t>monic leading 1, f(0) constant term, linear system</t>
        </is>
      </c>
      <c r="H67" s="2" t="inlineStr">
        <is>
          <t>yes</t>
        </is>
      </c>
      <c r="I67" s="2" t="inlineStr">
        <is>
          <t>leading coefficient 1, f(0) constant term, sequential linear solve</t>
        </is>
      </c>
      <c r="J67" s="2" t="inlineStr">
        <is>
          <t>yes-&gt;yes</t>
        </is>
      </c>
    </row>
    <row r="68">
      <c r="A68" s="2" t="n">
        <v>660</v>
      </c>
      <c r="B68" s="2" t="inlineStr">
        <is>
          <t>q_101878</t>
        </is>
      </c>
      <c r="C68" s="2" t="inlineStr">
        <is>
          <t>Mathematics -&gt; Discrete Mathematics -&gt; Combinatorics</t>
        </is>
      </c>
      <c r="D68" s="2" t="n">
        <v>5</v>
      </c>
      <c r="E68" s="2" t="inlineStr">
        <is>
          <t>Amy's grandmother gave her 3 identical chocolate chip cookies and 4 identical sugar cookies.  In how many different orde</t>
        </is>
      </c>
      <c r="F68" s="2" t="inlineStr">
        <is>
          <t>yes</t>
        </is>
      </c>
      <c r="G68" s="2" t="inlineStr">
        <is>
          <t>Inclusion-Exclusion with multiset permutations, fixed positions</t>
        </is>
      </c>
      <c r="H68" s="2" t="inlineStr">
        <is>
          <t>yes</t>
        </is>
      </c>
      <c r="I68" s="2" t="inlineStr">
        <is>
          <t>executed inclusion-exclusion and card's complementary counting</t>
        </is>
      </c>
      <c r="J68" s="2" t="inlineStr">
        <is>
          <t>yes-&gt;yes</t>
        </is>
      </c>
    </row>
    <row r="69">
      <c r="A69" s="2" t="n">
        <v>669</v>
      </c>
      <c r="B69" s="2" t="inlineStr">
        <is>
          <t>q_14806</t>
        </is>
      </c>
      <c r="C69" s="2" t="inlineStr">
        <is>
          <t>Mathematics -&gt; Calculus -&gt; Integral Calculus -&gt; Techniques of Integration -&gt; Multi-variable</t>
        </is>
      </c>
      <c r="D69" s="2" t="n">
        <v>8</v>
      </c>
      <c r="E69" s="2" t="inlineStr">
        <is>
          <t>Evaluate the integral \( \int_{-\infty}^{\infty}\frac{\sin(5x)}{1+(x-\frac{\pi}{2})^2} \, dx \) using the residue theore</t>
        </is>
      </c>
      <c r="F69" s="2" t="inlineStr">
        <is>
          <t>yes</t>
        </is>
      </c>
      <c r="G69" s="2" t="inlineStr">
        <is>
          <t>shift substitution, complex exponential, UHP contour, residue at i</t>
        </is>
      </c>
      <c r="H69" s="2" t="inlineStr">
        <is>
          <t>yes</t>
        </is>
      </c>
      <c r="I69" s="2" t="inlineStr">
        <is>
          <t>substitution u=x-pi/2, complex exponentials, residue theorem contours</t>
        </is>
      </c>
      <c r="J69" s="2" t="inlineStr">
        <is>
          <t>yes-&gt;yes</t>
        </is>
      </c>
    </row>
    <row r="70">
      <c r="A70" s="2" t="n">
        <v>672</v>
      </c>
      <c r="B70" s="2" t="inlineStr">
        <is>
          <t>q_11936</t>
        </is>
      </c>
      <c r="C70" s="2" t="inlineStr">
        <is>
          <t>Mathematics -&gt; Calculus -&gt; Integral Calculus -&gt; Techniques of Integration -&gt; Single-variable</t>
        </is>
      </c>
      <c r="D70" s="2" t="n">
        <v>6</v>
      </c>
      <c r="E70" s="2" t="inlineStr">
        <is>
          <t>Evaluate the limit: \[ \lim_{n\rightarrow\infty}\left[\left(1+\frac{1}{n}\right)\sin\frac{\pi}{n^{2}}+\left(1+\frac{2}{n</t>
        </is>
      </c>
      <c r="F70" s="2" t="inlineStr">
        <is>
          <t>yes</t>
        </is>
      </c>
      <c r="G70" s="2" t="inlineStr">
        <is>
          <t>sin(x)~x linearization then power-sum formulas</t>
        </is>
      </c>
      <c r="H70" s="2" t="inlineStr">
        <is>
          <t>yes</t>
        </is>
      </c>
      <c r="I70" s="2" t="inlineStr">
        <is>
          <t>sin(x)~x linearization then power-sum formulas</t>
        </is>
      </c>
      <c r="J70" s="2" t="inlineStr">
        <is>
          <t>yes-&gt;yes</t>
        </is>
      </c>
    </row>
    <row r="71">
      <c r="A71" s="2" t="n">
        <v>675</v>
      </c>
      <c r="B71" s="2" t="inlineStr">
        <is>
          <t>q_96421</t>
        </is>
      </c>
      <c r="C71" s="2" t="inlineStr">
        <is>
          <t>Mathematics -&gt; Geometry -&gt; Plane Geometry -&gt; Triangulations</t>
        </is>
      </c>
      <c r="D71" s="2" t="n">
        <v>5</v>
      </c>
      <c r="E71" s="2" t="inlineStr">
        <is>
          <t>In triangle $ABC,$ $D,$ $E,$ and $F$ are points on sides $\overline{BC},$ $\overline{AC},$ and $\overline{AB},$ respecti</t>
        </is>
      </c>
      <c r="F71" s="2" t="inlineStr">
        <is>
          <t>yes</t>
        </is>
      </c>
      <c r="G71" s="2" t="inlineStr">
        <is>
          <t>applied Routh's theorem formula for cevian triangle ratio</t>
        </is>
      </c>
      <c r="H71" s="2" t="inlineStr">
        <is>
          <t>yes</t>
        </is>
      </c>
      <c r="I71" s="2" t="inlineStr">
        <is>
          <t>applied Routh's Theorem formula directly</t>
        </is>
      </c>
      <c r="J71" s="2" t="inlineStr">
        <is>
          <t>yes-&gt;yes</t>
        </is>
      </c>
    </row>
    <row r="72">
      <c r="A72" s="2" t="n">
        <v>676</v>
      </c>
      <c r="B72" s="2" t="inlineStr">
        <is>
          <t>q_102234</t>
        </is>
      </c>
      <c r="C72" s="2" t="inlineStr">
        <is>
          <t>Mathematics -&gt; Algebra -&gt; Linear Algebra -&gt; Matrices</t>
        </is>
      </c>
      <c r="D72" s="2" t="n">
        <v>3</v>
      </c>
      <c r="E72" s="2" t="inlineStr">
        <is>
          <t xml:space="preserve">Let $\mathbf{M} = \begin{pmatrix} 2 &amp; 0 \\ 1 &amp; -3 \end{pmatrix}.$  Find constants $a$ and $b$ so that \[\mathbf{M}^{-1} </t>
        </is>
      </c>
      <c r="F72" s="2" t="inlineStr">
        <is>
          <t>yes</t>
        </is>
      </c>
      <c r="G72" s="2" t="inlineStr">
        <is>
          <t>Manual 2x2 inversion, coefficient matching, third-equation cross-validation</t>
        </is>
      </c>
      <c r="H72" s="2" t="inlineStr">
        <is>
          <t>yes</t>
        </is>
      </c>
      <c r="I72" s="2" t="inlineStr">
        <is>
          <t>Cayley-Hamilton with trace and determinant for inverse</t>
        </is>
      </c>
      <c r="J72" s="2" t="inlineStr">
        <is>
          <t>yes-&gt;yes</t>
        </is>
      </c>
    </row>
    <row r="73">
      <c r="A73" s="2" t="n">
        <v>679</v>
      </c>
      <c r="B73" s="2" t="inlineStr">
        <is>
          <t>q_61510</t>
        </is>
      </c>
      <c r="C73" s="2" t="inlineStr">
        <is>
          <t>Mathematics -&gt; Calculus -&gt; Integral Calculus -&gt; Techniques of Integration -&gt; Multi-variable</t>
        </is>
      </c>
      <c r="D73" s="2" t="n">
        <v>5</v>
      </c>
      <c r="E73" s="2" t="inlineStr">
        <is>
          <t>Evaluate the triple integral \( \int \int \int_R dV \) over the region \( R \) bounded by the paraboloid \( y = x^2 + z^</t>
        </is>
      </c>
      <c r="F73" s="2" t="inlineStr">
        <is>
          <t>yes</t>
        </is>
      </c>
      <c r="G73" s="2" t="inlineStr">
        <is>
          <t>y-axis cylindrical coordinates, intersection bounds, Jacobian r</t>
        </is>
      </c>
      <c r="H73" s="2" t="inlineStr">
        <is>
          <t>yes</t>
        </is>
      </c>
      <c r="I73" s="2" t="inlineStr">
        <is>
          <t>y-axis cylindrical coordinates, intersection bounds, Jacobian r</t>
        </is>
      </c>
      <c r="J73" s="2" t="inlineStr">
        <is>
          <t>yes-&gt;yes</t>
        </is>
      </c>
    </row>
    <row r="74">
      <c r="A74" s="2" t="n">
        <v>686</v>
      </c>
      <c r="B74" s="2" t="inlineStr">
        <is>
          <t>q_61478</t>
        </is>
      </c>
      <c r="C74" s="2" t="inlineStr">
        <is>
          <t>Mathematics -&gt; Algebra -&gt; Linear Algebra -&gt; Vectors</t>
        </is>
      </c>
      <c r="D74" s="2" t="n">
        <v>5</v>
      </c>
      <c r="E74" s="2" t="inlineStr">
        <is>
          <t xml:space="preserve">Given $D \in \mathbb{R}^{N\times M}$, $\psi\in \mathbb{R}^M$, and $s^0 \in \mathbb{R}^N$, if for all $h\in\mathbb{R}^N$ </t>
        </is>
      </c>
      <c r="F74" s="2" t="inlineStr">
        <is>
          <t>yes</t>
        </is>
      </c>
      <c r="G74" s="2" t="inlineStr">
        <is>
          <t>tested h equal difference vector, norm squared zero argument</t>
        </is>
      </c>
      <c r="H74" s="2" t="inlineStr">
        <is>
          <t>yes</t>
        </is>
      </c>
      <c r="I74" s="2" t="inlineStr">
        <is>
          <t>chose h=s0-Dpsi, derived norm-squared zero</t>
        </is>
      </c>
      <c r="J74" s="2" t="inlineStr">
        <is>
          <t>yes-&gt;yes</t>
        </is>
      </c>
    </row>
    <row r="75">
      <c r="A75" s="2" t="n">
        <v>699</v>
      </c>
      <c r="B75" s="2" t="inlineStr">
        <is>
          <t>q_30233</t>
        </is>
      </c>
      <c r="C75" s="2" t="inlineStr">
        <is>
          <t>Mathematics -&gt; Geometry -&gt; Plane Geometry -&gt; Triangulations</t>
        </is>
      </c>
      <c r="D75" s="2" t="n">
        <v>4.5</v>
      </c>
      <c r="E75" s="2" t="inlineStr">
        <is>
          <t>In a circle with radius $R$, an equilateral triangle $ABC$ is inscribed. A line is drawn through point $C$ that intersec</t>
        </is>
      </c>
      <c r="F75" s="2" t="inlineStr">
        <is>
          <t>yes</t>
        </is>
      </c>
      <c r="G75" s="2" t="inlineStr">
        <is>
          <t>Coordinate attempt, then card-prescribed Power-of-a-Point check</t>
        </is>
      </c>
      <c r="H75" s="2" t="inlineStr">
        <is>
          <t>yes</t>
        </is>
      </c>
      <c r="I75" s="2" t="inlineStr">
        <is>
          <t>applied Power of a Point directly, card's item 5 route</t>
        </is>
      </c>
      <c r="J75" s="2" t="inlineStr">
        <is>
          <t>yes-&gt;yes</t>
        </is>
      </c>
    </row>
    <row r="76">
      <c r="A76" s="2" t="n">
        <v>702</v>
      </c>
      <c r="B76" s="2" t="inlineStr">
        <is>
          <t>q_51689</t>
        </is>
      </c>
      <c r="C76" s="2" t="inlineStr">
        <is>
          <t>Mathematics -&gt; Precalculus -&gt; Limits</t>
        </is>
      </c>
      <c r="D76" s="2" t="n">
        <v>6</v>
      </c>
      <c r="E76" s="2" t="inlineStr">
        <is>
          <t>Evaluate the limit: \[ \lim _{x\to 0}\left(\frac{1-\cos (x)\cdot\cos(3x)}{\left(e^x-e^{-x}\right)\cdot \ln\left(1-x\righ</t>
        </is>
      </c>
      <c r="F76" s="2" t="inlineStr">
        <is>
          <t>yes</t>
        </is>
      </c>
      <c r="G76" s="2" t="inlineStr">
        <is>
          <t>Taylor expansions, 2sinh recognition, leading-term comparison</t>
        </is>
      </c>
      <c r="H76" s="2" t="inlineStr">
        <is>
          <t>yes</t>
        </is>
      </c>
      <c r="I76" s="2" t="inlineStr">
        <is>
          <t>Maclaurin expansions, additive leading coefficients, ratio of x2 terms</t>
        </is>
      </c>
      <c r="J76" s="2" t="inlineStr">
        <is>
          <t>yes-&gt;yes</t>
        </is>
      </c>
    </row>
    <row r="77">
      <c r="A77" s="2" t="n">
        <v>704</v>
      </c>
      <c r="B77" s="2" t="inlineStr">
        <is>
          <t>q_48782</t>
        </is>
      </c>
      <c r="C77" s="2" t="inlineStr">
        <is>
          <t>Mathematics -&gt; Applied Mathematics -&gt; Statistics -&gt; Probability -&gt; Other</t>
        </is>
      </c>
      <c r="D77" s="2" t="n">
        <v>7.5</v>
      </c>
      <c r="E77" s="2" t="inlineStr">
        <is>
          <t>Determine whether the following statement is true: \[ \mathbb{E}[X_{t_{1}}X_{t_{2}}]=\int_{\mathbb{R}}\int_{\mathbb{R}}x</t>
        </is>
      </c>
      <c r="F77" s="2" t="inlineStr">
        <is>
          <t>yes</t>
        </is>
      </c>
      <c r="G77" s="2" t="inlineStr">
        <is>
          <t>type-checked scalar vs vector integrand, corrected to x1x2</t>
        </is>
      </c>
      <c r="H77" s="2" t="inlineStr">
        <is>
          <t>yes</t>
        </is>
      </c>
      <c r="I77" s="2" t="inlineStr">
        <is>
          <t>type-check mismatch, decomposed vector, corrected integrand</t>
        </is>
      </c>
      <c r="J77" s="2" t="inlineStr">
        <is>
          <t>yes-&gt;yes</t>
        </is>
      </c>
    </row>
    <row r="78">
      <c r="A78" s="2" t="n">
        <v>707</v>
      </c>
      <c r="B78" s="2" t="inlineStr">
        <is>
          <t>q_72295</t>
        </is>
      </c>
      <c r="C78" s="2" t="inlineStr">
        <is>
          <t>Mathematics -&gt; Algebra -&gt; Abstract Algebra -&gt; Field Theory</t>
        </is>
      </c>
      <c r="D78" s="2" t="n">
        <v>7.5</v>
      </c>
      <c r="E78" s="2" t="inlineStr">
        <is>
          <t>Consider a palindromic number $N_b$ in base $b=p^n$, where $p$ is a prime and all digits of $N_b$ are less than $p$. Det</t>
        </is>
      </c>
      <c r="F78" s="2" t="inlineStr">
        <is>
          <t>yes</t>
        </is>
      </c>
      <c r="G78" s="2" t="inlineStr">
        <is>
          <t>carry-free digit blocking, zeros preserve palindrome symmetry</t>
        </is>
      </c>
      <c r="H78" s="2" t="inlineStr">
        <is>
          <t>yes</t>
        </is>
      </c>
      <c r="I78" s="2" t="inlineStr">
        <is>
          <t>Direct digit mapping, no carries, interspersed zeros preserve symmetry</t>
        </is>
      </c>
      <c r="J78" s="2" t="inlineStr">
        <is>
          <t>yes-&gt;yes</t>
        </is>
      </c>
    </row>
    <row r="79">
      <c r="A79" s="2" t="n">
        <v>709</v>
      </c>
      <c r="B79" s="2" t="inlineStr">
        <is>
          <t>q_48109</t>
        </is>
      </c>
      <c r="C79" s="2" t="inlineStr">
        <is>
          <t>Mathematics -&gt; Calculus -&gt; Integral Calculus -&gt; Techniques of Integration -&gt; Single-variable</t>
        </is>
      </c>
      <c r="D79" s="2" t="n">
        <v>5</v>
      </c>
      <c r="E79" s="2" t="inlineStr">
        <is>
          <t>Express \( S(x) = \frac{a_0}{2} + \sum_{k=1}^\infty a_k \cos(2kx) + b_k \sin(2kx) \) in terms of \( f(x) = \frac{a_0}{2}</t>
        </is>
      </c>
      <c r="F79" s="2" t="inlineStr">
        <is>
          <t>yes</t>
        </is>
      </c>
      <c r="G79" s="2" t="inlineStr">
        <is>
          <t>direct substitution giving S(x)=f(2x)</t>
        </is>
      </c>
      <c r="H79" s="2" t="inlineStr">
        <is>
          <t>yes</t>
        </is>
      </c>
      <c r="I79" s="2" t="inlineStr">
        <is>
          <t>term comparison, variable scaling substitution S(x)=f(2x)</t>
        </is>
      </c>
      <c r="J79" s="2" t="inlineStr">
        <is>
          <t>yes-&gt;yes</t>
        </is>
      </c>
    </row>
    <row r="80">
      <c r="A80" s="2" t="n">
        <v>715</v>
      </c>
      <c r="B80" s="2" t="inlineStr">
        <is>
          <t>q_82377</t>
        </is>
      </c>
      <c r="C80" s="2" t="inlineStr">
        <is>
          <t>Mathematics -&gt; Applied Mathematics -&gt; Statistics -&gt; Probability -&gt; Other</t>
        </is>
      </c>
      <c r="D80" s="2" t="n">
        <v>5</v>
      </c>
      <c r="E80" s="2" t="inlineStr">
        <is>
          <t>Calculate the covariance of the random variables $X$ and $Y$ given their joint density function: $$ f_{X,Y}(x,y) = \begi</t>
        </is>
      </c>
      <c r="F80" s="2" t="inlineStr">
        <is>
          <t>yes</t>
        </is>
      </c>
      <c r="G80" s="2" t="inlineStr">
        <is>
          <t>normalization check, symmetry E[X]=E[Y], E[XY], covariance formula</t>
        </is>
      </c>
      <c r="H80" s="2" t="inlineStr">
        <is>
          <t>yes</t>
        </is>
      </c>
      <c r="I80" s="2" t="inlineStr">
        <is>
          <t>normalization check, symmetry, E[XY], covariance formula</t>
        </is>
      </c>
      <c r="J80" s="2" t="inlineStr">
        <is>
          <t>yes-&gt;yes</t>
        </is>
      </c>
    </row>
    <row r="81">
      <c r="A81" s="2" t="n">
        <v>716</v>
      </c>
      <c r="B81" s="2" t="inlineStr">
        <is>
          <t>q_32548</t>
        </is>
      </c>
      <c r="C81" s="2" t="inlineStr">
        <is>
          <t>Mathematics -&gt; Discrete Mathematics -&gt; Algorithms</t>
        </is>
      </c>
      <c r="D81" s="2" t="n">
        <v>4</v>
      </c>
      <c r="E81" s="2" t="inlineStr">
        <is>
          <t>Let $X$ be a random variable in $A = \{1,2,3,4\}$ with pmf $p(1) = \frac{1}{8}$, $p(2) = \frac{1}{8}$, $p(3) = \frac{1}{</t>
        </is>
      </c>
      <c r="F81" s="2" t="inlineStr">
        <is>
          <t>yes</t>
        </is>
      </c>
      <c r="G81" s="2" t="inlineStr">
        <is>
          <t>ratio of expected ones to expected length</t>
        </is>
      </c>
      <c r="H81" s="2" t="inlineStr">
        <is>
          <t>yes</t>
        </is>
      </c>
      <c r="I81" s="2" t="inlineStr">
        <is>
          <t>computed ratio of expected ones to expected length</t>
        </is>
      </c>
      <c r="J81" s="2" t="inlineStr">
        <is>
          <t>yes-&gt;yes</t>
        </is>
      </c>
    </row>
    <row r="82">
      <c r="A82" s="2" t="n">
        <v>738</v>
      </c>
      <c r="B82" s="2" t="inlineStr">
        <is>
          <t>q_36676</t>
        </is>
      </c>
      <c r="C82" s="2" t="inlineStr">
        <is>
          <t>Mathematics -&gt; Algebra -&gt; Algebra -&gt; Equations and Inequalities</t>
        </is>
      </c>
      <c r="D82" s="2" t="n">
        <v>5.5</v>
      </c>
      <c r="E82" s="2" t="inlineStr">
        <is>
          <t>Find the smallest real number \( c \) such that the inequality \( x + y - (xy)^c \geq 0 \) holds for all \( x, y \in [0,</t>
        </is>
      </c>
      <c r="F82" s="2" t="inlineStr">
        <is>
          <t>yes</t>
        </is>
      </c>
      <c r="G82" s="2" t="inlineStr">
        <is>
          <t>Diagonal testing, boundary analysis, AM-GM candidate verification</t>
        </is>
      </c>
      <c r="H82" s="2" t="inlineStr">
        <is>
          <t>yes</t>
        </is>
      </c>
      <c r="I82" s="2" t="inlineStr">
        <is>
          <t>Parameter isolation, diagonal testing, candidate verification executed</t>
        </is>
      </c>
      <c r="J82" s="2" t="inlineStr">
        <is>
          <t>yes-&gt;yes</t>
        </is>
      </c>
    </row>
    <row r="83">
      <c r="A83" s="2" t="n">
        <v>781</v>
      </c>
      <c r="B83" s="2" t="inlineStr">
        <is>
          <t>q_99139</t>
        </is>
      </c>
      <c r="C83" s="2" t="inlineStr">
        <is>
          <t>Mathematics -&gt; Algebra -&gt; Algebra -&gt; Equations and Inequalities</t>
        </is>
      </c>
      <c r="D83" s="2" t="n">
        <v>5</v>
      </c>
      <c r="E83" s="2" t="inlineStr">
        <is>
          <t>What is the sum of all integer solutions to $1&lt;(x-2)^2&lt;25$?</t>
        </is>
      </c>
      <c r="F83" s="2" t="inlineStr">
        <is>
          <t>yes</t>
        </is>
      </c>
      <c r="G83" s="2" t="inlineStr">
        <is>
          <t>Absolute value transform, two-case branching, summed solutions</t>
        </is>
      </c>
      <c r="H83" s="2" t="inlineStr">
        <is>
          <t>yes</t>
        </is>
      </c>
      <c r="I83" s="2" t="inlineStr">
        <is>
          <t>transformed to 1&lt;|x-2|&lt;5, branched both cases per k</t>
        </is>
      </c>
      <c r="J83" s="2" t="inlineStr">
        <is>
          <t>yes-&gt;yes</t>
        </is>
      </c>
    </row>
    <row r="84">
      <c r="A84" s="2" t="n">
        <v>783</v>
      </c>
      <c r="B84" s="2" t="inlineStr">
        <is>
          <t>q_91977</t>
        </is>
      </c>
      <c r="C84" s="2" t="inlineStr">
        <is>
          <t>Mathematics -&gt; Algebra -&gt; Algebra -&gt; Equations and Inequalities</t>
        </is>
      </c>
      <c r="D84" s="2" t="n">
        <v>5.5</v>
      </c>
      <c r="E84" s="2" t="inlineStr">
        <is>
          <t>Three positive real numbers \( x \), \( y \), and \( z \) satisfy the following system of equations: \[ \begin{array}{l}</t>
        </is>
      </c>
      <c r="F84" s="2" t="inlineStr">
        <is>
          <t>yes</t>
        </is>
      </c>
      <c r="G84" s="2" t="inlineStr">
        <is>
          <t>variable shift, subtracted pairs, tested integer differences, shifted back</t>
        </is>
      </c>
      <c r="H84" s="2" t="inlineStr">
        <is>
          <t>yes</t>
        </is>
      </c>
      <c r="I84" s="2" t="inlineStr">
        <is>
          <t>variable shift, pairwise subtraction, factoring, positivity check</t>
        </is>
      </c>
      <c r="J84" s="2" t="inlineStr">
        <is>
          <t>yes-&gt;yes</t>
        </is>
      </c>
    </row>
    <row r="85">
      <c r="A85" s="2" t="n">
        <v>786</v>
      </c>
      <c r="B85" s="2" t="inlineStr">
        <is>
          <t>q_87138</t>
        </is>
      </c>
      <c r="C85" s="2" t="inlineStr">
        <is>
          <t>Mathematics -&gt; Discrete Mathematics -&gt; Combinatorics</t>
        </is>
      </c>
      <c r="D85" s="2" t="n">
        <v>7</v>
      </c>
      <c r="E85" s="2" t="inlineStr">
        <is>
          <t>On the planet Mars, there are 100 states in dispute. To achieve peace, blocs must be formed under the following conditio</t>
        </is>
      </c>
      <c r="F85" s="2" t="inlineStr">
        <is>
          <t>yes</t>
        </is>
      </c>
      <c r="G85" s="2" t="inlineStr">
        <is>
          <t>pair-ratio lower bound, complementary-pair pitfall, increments to 6</t>
        </is>
      </c>
      <c r="H85" s="2" t="inlineStr">
        <is>
          <t>yes</t>
        </is>
      </c>
      <c r="I85" s="2" t="inlineStr">
        <is>
          <t>pair-ratio lower bound plus membership incidence counting</t>
        </is>
      </c>
      <c r="J85" s="2" t="inlineStr">
        <is>
          <t>yes-&gt;yes</t>
        </is>
      </c>
    </row>
    <row r="86">
      <c r="A86" s="2" t="n">
        <v>789</v>
      </c>
      <c r="B86" s="2" t="inlineStr">
        <is>
          <t>q_30592</t>
        </is>
      </c>
      <c r="C86" s="2" t="inlineStr">
        <is>
          <t>Mathematics -&gt; Number Theory -&gt; Congruences</t>
        </is>
      </c>
      <c r="D86" s="2" t="n">
        <v>6.5</v>
      </c>
      <c r="E86" s="2" t="inlineStr">
        <is>
          <t xml:space="preserve">Find the smallest natural number \( m \) that is the product of three distinct prime numbers and for which the equation </t>
        </is>
      </c>
      <c r="F86" s="2" t="inlineStr">
        <is>
          <t>yes</t>
        </is>
      </c>
      <c r="G86" s="2" t="inlineStr">
        <is>
          <t>CRT multiplicativity, primes 1 mod 4 each giving 2 solutions</t>
        </is>
      </c>
      <c r="H86" s="2" t="inlineStr">
        <is>
          <t>yes</t>
        </is>
      </c>
      <c r="I86" s="2" t="inlineStr">
        <is>
          <t>CRT decomposition, local solution counts, greedy smallest primes</t>
        </is>
      </c>
      <c r="J86" s="2" t="inlineStr">
        <is>
          <t>yes-&gt;yes</t>
        </is>
      </c>
    </row>
    <row r="87">
      <c r="A87" s="2" t="n">
        <v>790</v>
      </c>
      <c r="B87" s="2" t="inlineStr">
        <is>
          <t>q_456</t>
        </is>
      </c>
      <c r="C87" s="2" t="inlineStr">
        <is>
          <t>Mathematics -&gt; Algebra -&gt; Linear Algebra -&gt; Vectors</t>
        </is>
      </c>
      <c r="D87" s="2" t="n">
        <v>6.5</v>
      </c>
      <c r="E87" s="2" t="inlineStr">
        <is>
          <t>Consider a probability space $(\Omega, \mathcal{A}, P)$ and a real Hilbert space $\mathcal{H}$. Let $X: \Omega \to \math</t>
        </is>
      </c>
      <c r="F87" s="2" t="inlineStr">
        <is>
          <t>yes</t>
        </is>
      </c>
      <c r="G87" s="2" t="inlineStr">
        <is>
          <t>fixed omega, triangle inequality diameter bound, squared</t>
        </is>
      </c>
      <c r="H87" s="2" t="inlineStr">
        <is>
          <t>yes</t>
        </is>
      </c>
      <c r="I87" s="2" t="inlineStr">
        <is>
          <t>triangle inequality via center, diameter bound, then squared</t>
        </is>
      </c>
      <c r="J87" s="2" t="inlineStr">
        <is>
          <t>yes-&gt;yes</t>
        </is>
      </c>
    </row>
    <row r="88">
      <c r="A88" s="2" t="n">
        <v>793</v>
      </c>
      <c r="B88" s="2" t="inlineStr">
        <is>
          <t>q_52086</t>
        </is>
      </c>
      <c r="C88" s="2" t="inlineStr">
        <is>
          <t>Mathematics -&gt; Applied Mathematics -&gt; Statistics -&gt; Probability -&gt; Other</t>
        </is>
      </c>
      <c r="D88" s="2" t="n">
        <v>6</v>
      </c>
      <c r="E88" s="2" t="inlineStr">
        <is>
          <t>Given the joint density function \( f(x,y) = \frac{1}{2\pi} e^{-(x^2+y^2)/2} \), compute the probability \( P(X&lt;Y) \) fo</t>
        </is>
      </c>
      <c r="F88" s="2" t="inlineStr">
        <is>
          <t>yes</t>
        </is>
      </c>
      <c r="G88" s="2" t="inlineStr">
        <is>
          <t>uses permutation symmetry to partition, gets 1/2</t>
        </is>
      </c>
      <c r="H88" s="2" t="inlineStr">
        <is>
          <t>yes</t>
        </is>
      </c>
      <c r="I88" s="2" t="inlineStr">
        <is>
          <t>independence factorization, Z=X-Y normal, symmetry gives 0.5</t>
        </is>
      </c>
      <c r="J88" s="2" t="inlineStr">
        <is>
          <t>yes-&gt;yes</t>
        </is>
      </c>
    </row>
    <row r="89">
      <c r="A89" s="2" t="n">
        <v>799</v>
      </c>
      <c r="B89" s="2" t="inlineStr">
        <is>
          <t>q_85299</t>
        </is>
      </c>
      <c r="C89" s="2" t="inlineStr">
        <is>
          <t>Mathematics -&gt; Precalculus -&gt; Trigonometric Functions</t>
        </is>
      </c>
      <c r="D89" s="2" t="n">
        <v>6.5</v>
      </c>
      <c r="E89" s="2" t="inlineStr">
        <is>
          <t>Let \( f(x) = \sin^6\left(\frac{x}{4}\right) + \cos^6\left(\frac{x}{4}\right) \) for all real numbers \( x \). Determine</t>
        </is>
      </c>
      <c r="F89" s="2" t="inlineStr">
        <is>
          <t>yes</t>
        </is>
      </c>
      <c r="G89" s="2" t="inlineStr">
        <is>
          <t>linearizes to 5/8+3/8cos(x), mod-4 derivative cycle</t>
        </is>
      </c>
      <c r="H89" s="2" t="inlineStr">
        <is>
          <t>yes</t>
        </is>
      </c>
      <c r="I89" s="2" t="inlineStr">
        <is>
          <t>power-reduction linearization to cosine, mod-4 derivative periodicity</t>
        </is>
      </c>
      <c r="J89" s="2" t="inlineStr">
        <is>
          <t>yes-&gt;yes</t>
        </is>
      </c>
    </row>
    <row r="90">
      <c r="A90" s="2" t="n">
        <v>804</v>
      </c>
      <c r="B90" s="2" t="inlineStr">
        <is>
          <t>q_21309</t>
        </is>
      </c>
      <c r="C90" s="2" t="inlineStr">
        <is>
          <t>Mathematics -&gt; Applied Mathematics -&gt; Statistics -&gt; Probability -&gt; Other</t>
        </is>
      </c>
      <c r="D90" s="2" t="n">
        <v>8.5</v>
      </c>
      <c r="E90" s="2" t="inlineStr">
        <is>
          <t>Does there exist a function \( p:2^{\Bbb N}\rightarrow [0,1] \) such that \( p \) is finitely additive, i.e., \( p(A_1\c</t>
        </is>
      </c>
      <c r="F90" s="2" t="inlineStr">
        <is>
          <t>yes</t>
        </is>
      </c>
      <c r="G90" s="2" t="inlineStr">
        <is>
          <t>non-principal ultrafilter 0-1 measure construction, singleton sum argument</t>
        </is>
      </c>
      <c r="H90" s="2" t="inlineStr">
        <is>
          <t>yes</t>
        </is>
      </c>
      <c r="I90" s="2" t="inlineStr">
        <is>
          <t>constructed 0-1 measure from non-principal ultrafilter</t>
        </is>
      </c>
      <c r="J90" s="2" t="inlineStr">
        <is>
          <t>yes-&gt;yes</t>
        </is>
      </c>
    </row>
    <row r="91">
      <c r="A91" s="2" t="n">
        <v>811</v>
      </c>
      <c r="B91" s="2" t="inlineStr">
        <is>
          <t>q_16286</t>
        </is>
      </c>
      <c r="C91" s="2" t="inlineStr">
        <is>
          <t>Mathematics -&gt; Calculus -&gt; Integral Calculus -&gt; Applications of Integrals</t>
        </is>
      </c>
      <c r="D91" s="2" t="n">
        <v>5.5</v>
      </c>
      <c r="E91" s="2" t="inlineStr">
        <is>
          <t>Prove that \( \int_{a}^{b} \left\lfloor x \right\rfloor \, dx + \int_{a}^{b} \left\lfloor -x \right\rfloor \, dx = a-b \</t>
        </is>
      </c>
      <c r="F91" s="2" t="inlineStr">
        <is>
          <t>yes</t>
        </is>
      </c>
      <c r="G91" s="2" t="inlineStr">
        <is>
          <t>combines integrals, floor-ceiling identity, constant -1 a.e.</t>
        </is>
      </c>
      <c r="H91" s="2" t="inlineStr">
        <is>
          <t>yes</t>
        </is>
      </c>
      <c r="I91" s="2" t="inlineStr">
        <is>
          <t>combined integrals, floor-ceiling identity, constant -1 almost everywhere</t>
        </is>
      </c>
      <c r="J91" s="2" t="inlineStr">
        <is>
          <t>yes-&gt;yes</t>
        </is>
      </c>
    </row>
    <row r="92">
      <c r="A92" s="2" t="n">
        <v>817</v>
      </c>
      <c r="B92" s="2" t="inlineStr">
        <is>
          <t>q_1240</t>
        </is>
      </c>
      <c r="C92" s="2" t="inlineStr">
        <is>
          <t>Mathematics -&gt; Algebra -&gt; Abstract Algebra -&gt; Group Theory</t>
        </is>
      </c>
      <c r="D92" s="2" t="n">
        <v>8</v>
      </c>
      <c r="E92" s="2" t="inlineStr">
        <is>
          <t xml:space="preserve">Given finite groups $H$ and $G$ with $H &lt; G$, determine if there must exist a positive integer $n$ such that there is a </t>
        </is>
      </c>
      <c r="F92" s="2" t="inlineStr">
        <is>
          <t>yes</t>
        </is>
      </c>
      <c r="G92" s="2" t="inlineStr">
        <is>
          <t>used regular representation; H-orbits are cosets, non-transitive</t>
        </is>
      </c>
      <c r="H92" s="2" t="inlineStr">
        <is>
          <t>yes</t>
        </is>
      </c>
      <c r="I92" s="2" t="inlineStr">
        <is>
          <t>used regular representation, proper subgroup non-transitive on G</t>
        </is>
      </c>
      <c r="J92" s="2" t="inlineStr">
        <is>
          <t>yes-&gt;yes</t>
        </is>
      </c>
    </row>
    <row r="93">
      <c r="A93" s="2" t="n">
        <v>829</v>
      </c>
      <c r="B93" s="2" t="inlineStr">
        <is>
          <t>q_9058</t>
        </is>
      </c>
      <c r="C93" s="2" t="inlineStr">
        <is>
          <t>Mathematics -&gt; Calculus -&gt; Integral Calculus -&gt; Techniques of Integration -&gt; Single-variable</t>
        </is>
      </c>
      <c r="D93" s="2" t="n">
        <v>5.5</v>
      </c>
      <c r="E93" s="2" t="inlineStr">
        <is>
          <t>Determine whether the improper integral \( \int_{-\infty}^\infty x^3e^{-x^4}dx \) is convergent or divergent. If it is c</t>
        </is>
      </c>
      <c r="F93" s="2" t="inlineStr">
        <is>
          <t>yes</t>
        </is>
      </c>
      <c r="G93" s="2" t="inlineStr">
        <is>
          <t>parity decomposition, substitution verifies convergence, zero</t>
        </is>
      </c>
      <c r="H93" s="2" t="inlineStr">
        <is>
          <t>yes</t>
        </is>
      </c>
      <c r="I93" s="2" t="inlineStr">
        <is>
          <t>parity decomposition, substitution verifies convergence, zero</t>
        </is>
      </c>
      <c r="J93" s="2" t="inlineStr">
        <is>
          <t>yes-&gt;yes</t>
        </is>
      </c>
    </row>
    <row r="94">
      <c r="A94" s="2" t="n">
        <v>832</v>
      </c>
      <c r="B94" s="2" t="inlineStr">
        <is>
          <t>q_10731</t>
        </is>
      </c>
      <c r="C94" s="2" t="inlineStr">
        <is>
          <t>Mathematics -&gt; Number Theory -&gt; Congruences</t>
        </is>
      </c>
      <c r="D94" s="2" t="n">
        <v>5</v>
      </c>
      <c r="E94" s="2" t="inlineStr">
        <is>
          <t>Find the integer $d$ such that $17^d \equiv 8 \pmod{55}$. This is part of an RSA encryption problem.</t>
        </is>
      </c>
      <c r="F94" s="2" t="inlineStr">
        <is>
          <t>yes</t>
        </is>
      </c>
      <c r="G94" s="2" t="inlineStr">
        <is>
          <t>solved mod 5 and 11 separately, combined via CRT</t>
        </is>
      </c>
      <c r="H94" s="2" t="inlineStr">
        <is>
          <t>yes</t>
        </is>
      </c>
      <c r="I94" s="2" t="inlineStr">
        <is>
          <t>solved mod 5 and 11 separately, combined via CRT</t>
        </is>
      </c>
      <c r="J94" s="2" t="inlineStr">
        <is>
          <t>yes-&gt;yes</t>
        </is>
      </c>
    </row>
    <row r="95">
      <c r="A95" s="2" t="n">
        <v>835</v>
      </c>
      <c r="B95" s="2" t="inlineStr">
        <is>
          <t>q_47115</t>
        </is>
      </c>
      <c r="C95" s="2" t="inlineStr">
        <is>
          <t>Mathematics -&gt; Number Theory -&gt; Congruences</t>
        </is>
      </c>
      <c r="D95" s="2" t="n">
        <v>5.5</v>
      </c>
      <c r="E95" s="2" t="inlineStr">
        <is>
          <t>Find the remainder when \(2^{1990}\) is divided by \(1990\).</t>
        </is>
      </c>
      <c r="F95" s="2" t="inlineStr">
        <is>
          <t>yes</t>
        </is>
      </c>
      <c r="G95" s="2" t="inlineStr">
        <is>
          <t>factored modulus, Fermat/Euler exponent reduction, CRT recombination</t>
        </is>
      </c>
      <c r="H95" s="2" t="inlineStr">
        <is>
          <t>yes</t>
        </is>
      </c>
      <c r="I95" s="2" t="inlineStr">
        <is>
          <t>factorizes 1990, Fermat/Euler reduction, CRT recombination</t>
        </is>
      </c>
      <c r="J95" s="2" t="inlineStr">
        <is>
          <t>yes-&gt;yes</t>
        </is>
      </c>
    </row>
    <row r="96">
      <c r="A96" s="2" t="n">
        <v>840</v>
      </c>
      <c r="B96" s="2" t="inlineStr">
        <is>
          <t>q_9775</t>
        </is>
      </c>
      <c r="C96" s="2" t="inlineStr">
        <is>
          <t>Mathematics -&gt; Precalculus -&gt; Limits</t>
        </is>
      </c>
      <c r="D96" s="2" t="n">
        <v>8</v>
      </c>
      <c r="E96" s="2" t="inlineStr">
        <is>
          <t>Evaluate the limit: \[ \lim_{n \to \infty} \left( \sum_{k=10}^{n+9} \frac{2^{11(k-9)/n}}{\log_2 e^{n/11}} - \sum_{k=0}^{</t>
        </is>
      </c>
      <c r="F96" s="2" t="inlineStr">
        <is>
          <t>yes</t>
        </is>
      </c>
      <c r="G96" s="2" t="inlineStr">
        <is>
          <t>index shifts, log identities, converted both sums to integrals</t>
        </is>
      </c>
      <c r="H96" s="2" t="inlineStr">
        <is>
          <t>yes</t>
        </is>
      </c>
      <c r="I96" s="2" t="inlineStr">
        <is>
          <t>Riemann sums via index shift, log identity, factoring n</t>
        </is>
      </c>
      <c r="J96" s="2" t="inlineStr">
        <is>
          <t>yes-&gt;yes</t>
        </is>
      </c>
    </row>
    <row r="97">
      <c r="A97" s="2" t="n">
        <v>856</v>
      </c>
      <c r="B97" s="2" t="inlineStr">
        <is>
          <t>q_83829</t>
        </is>
      </c>
      <c r="C97" s="2" t="inlineStr">
        <is>
          <t>Mathematics -&gt; Algebra -&gt; Linear Algebra -&gt; Linear Transformations</t>
        </is>
      </c>
      <c r="D97" s="2" t="n">
        <v>8</v>
      </c>
      <c r="E97" s="2" t="inlineStr">
        <is>
          <t xml:space="preserve">Let $L$ be the linear subspace of $C[0,1]$ defined by $L = \{x(t) \in C[0,1] : x(t) = \text{constant}\}$. Consider $f_0 </t>
        </is>
      </c>
      <c r="F97" s="2" t="inlineStr">
        <is>
          <t>yes</t>
        </is>
      </c>
      <c r="G97" s="2" t="inlineStr">
        <is>
          <t>extended evaluation functional x(0), endpoint norm verification</t>
        </is>
      </c>
      <c r="H97" s="2" t="inlineStr">
        <is>
          <t>unclear</t>
        </is>
      </c>
      <c r="I97" s="2" t="inlineStr">
        <is>
          <t>invokes evaluation/endpoint ideas but garbled inconsistent extension</t>
        </is>
      </c>
      <c r="J97" s="2" t="inlineStr">
        <is>
          <t>yes-&gt;unclear</t>
        </is>
      </c>
    </row>
    <row r="98">
      <c r="A98" s="2" t="n">
        <v>860</v>
      </c>
      <c r="B98" s="2" t="inlineStr">
        <is>
          <t>q_8436</t>
        </is>
      </c>
      <c r="C98" s="2" t="inlineStr">
        <is>
          <t>Mathematics -&gt; Applied Mathematics -&gt; Statistics -&gt; Probability -&gt; Other</t>
        </is>
      </c>
      <c r="D98" s="2" t="n">
        <v>4</v>
      </c>
      <c r="E98" s="2" t="inlineStr">
        <is>
          <t>Let $T_A, T_B, T_C$ be independent and identically distributed random variables following an Exponential distribution wi</t>
        </is>
      </c>
      <c r="F98" s="2" t="inlineStr">
        <is>
          <t>yes</t>
        </is>
      </c>
      <c r="G98" s="2" t="inlineStr">
        <is>
          <t>used iid symmetry to conclude 1/3</t>
        </is>
      </c>
      <c r="H98" s="2" t="inlineStr">
        <is>
          <t>yes</t>
        </is>
      </c>
      <c r="I98" s="2" t="inlineStr">
        <is>
          <t>iid symmetry shortcut giving probability 1/3</t>
        </is>
      </c>
      <c r="J98" s="2" t="inlineStr">
        <is>
          <t>yes-&gt;yes</t>
        </is>
      </c>
    </row>
    <row r="99">
      <c r="A99" s="2" t="n">
        <v>863</v>
      </c>
      <c r="B99" s="2" t="inlineStr">
        <is>
          <t>q_74289</t>
        </is>
      </c>
      <c r="C99" s="2" t="inlineStr">
        <is>
          <t>Mathematics -&gt; Other</t>
        </is>
      </c>
      <c r="D99" s="2" t="n">
        <v>9</v>
      </c>
      <c r="E99" s="2" t="inlineStr">
        <is>
          <t>Does the set of all functions from $\aleph_0^{\aleph_0}$ to $\mathbb{Z}$ exist in ZFC without additional large cardinals</t>
        </is>
      </c>
      <c r="F99" s="2" t="inlineStr">
        <is>
          <t>yes</t>
        </is>
      </c>
      <c r="G99" s="2" t="inlineStr">
        <is>
          <t>verified sets, subset-of-power-set construction, no large cardinals</t>
        </is>
      </c>
      <c r="H99" s="2" t="inlineStr">
        <is>
          <t>yes</t>
        </is>
      </c>
      <c r="I99" s="2" t="inlineStr">
        <is>
          <t>functions as subsets of product, power set argument</t>
        </is>
      </c>
      <c r="J99" s="2" t="inlineStr">
        <is>
          <t>yes-&gt;yes</t>
        </is>
      </c>
    </row>
    <row r="100">
      <c r="A100" s="2" t="n">
        <v>866</v>
      </c>
      <c r="B100" s="2" t="inlineStr">
        <is>
          <t>q_92653</t>
        </is>
      </c>
      <c r="C100" s="2" t="inlineStr">
        <is>
          <t>Mathematics -&gt; Algebra -&gt; Algebra -&gt; Equations and Inequalities</t>
        </is>
      </c>
      <c r="D100" s="2" t="n">
        <v>7.5</v>
      </c>
      <c r="E100" s="2" t="inlineStr">
        <is>
          <t>Find all functions \( f: \mathbb{R} \rightarrow \mathbb{R} \) such that for all real numbers \( x \) and \( y \), the in</t>
        </is>
      </c>
      <c r="F100" s="2" t="inlineStr">
        <is>
          <t>yes</t>
        </is>
      </c>
      <c r="G100" s="2" t="inlineStr">
        <is>
          <t>canceling substitution, linear ansatz, coefficient matching, verification</t>
        </is>
      </c>
      <c r="H100" s="2" t="inlineStr">
        <is>
          <t>yes</t>
        </is>
      </c>
      <c r="I100" s="2" t="inlineStr">
        <is>
          <t>linear ansatz f=ax+b with coefficient matching</t>
        </is>
      </c>
      <c r="J100" s="2" t="inlineStr">
        <is>
          <t>yes-&gt;yes</t>
        </is>
      </c>
    </row>
    <row r="101">
      <c r="A101" s="2" t="n">
        <v>870</v>
      </c>
      <c r="B101" s="2" t="inlineStr">
        <is>
          <t>q_81296</t>
        </is>
      </c>
      <c r="C101" s="2" t="inlineStr">
        <is>
          <t>Mathematics -&gt; Other</t>
        </is>
      </c>
      <c r="D101" s="2" t="n">
        <v>8.5</v>
      </c>
      <c r="E101" s="2" t="inlineStr">
        <is>
          <t>Is every locally continuous function between topological spaces necessarily continuous?</t>
        </is>
      </c>
      <c r="F101" s="2" t="inlineStr">
        <is>
          <t>yes</t>
        </is>
      </c>
      <c r="G101" s="2" t="inlineStr">
        <is>
          <t>preimage as union over open cover, transitivity of openness</t>
        </is>
      </c>
      <c r="H101" s="2" t="inlineStr">
        <is>
          <t>no</t>
        </is>
      </c>
      <c r="I101" s="2" t="inlineStr">
        <is>
          <t>built counterexample answering No, not union-of-open-sets gluing proof</t>
        </is>
      </c>
      <c r="J101" s="2" t="inlineStr">
        <is>
          <t>yes-&gt;no</t>
        </is>
      </c>
    </row>
    <row r="102">
      <c r="A102" s="2" t="n">
        <v>873</v>
      </c>
      <c r="B102" s="2" t="inlineStr">
        <is>
          <t>q_99563</t>
        </is>
      </c>
      <c r="C102" s="2" t="inlineStr">
        <is>
          <t>Mathematics -&gt; Algebra -&gt; Intermediate Algebra -&gt; Other</t>
        </is>
      </c>
      <c r="D102" s="2" t="n">
        <v>5</v>
      </c>
      <c r="E102" s="2" t="inlineStr">
        <is>
          <t>If $p, q,$ and $r$ are three non-zero integers such that $p + q + r = 26$ and\[\frac{1}{p} + \frac{1}{q} + \frac{1}{r} +</t>
        </is>
      </c>
      <c r="F102" s="2" t="inlineStr">
        <is>
          <t>yes</t>
        </is>
      </c>
      <c r="G102" s="2" t="inlineStr">
        <is>
          <t>clears denominators, (p-1)(q-1)(r-1)=385 factoring trick</t>
        </is>
      </c>
      <c r="H102" s="2" t="inlineStr">
        <is>
          <t>yes</t>
        </is>
      </c>
      <c r="I102" s="2" t="inlineStr">
        <is>
          <t>cleared denominators, (p-1)(q-1)(r-1)=335 factoring trick</t>
        </is>
      </c>
      <c r="J102" s="2" t="inlineStr">
        <is>
          <t>yes-&gt;yes</t>
        </is>
      </c>
    </row>
    <row r="103">
      <c r="A103" s="2" t="n">
        <v>893</v>
      </c>
      <c r="B103" s="2" t="inlineStr">
        <is>
          <t>q_30259</t>
        </is>
      </c>
      <c r="C103" s="2" t="inlineStr">
        <is>
          <t>Mathematics -&gt; Calculus -&gt; Differential Calculus -&gt; Applications of Derivatives</t>
        </is>
      </c>
      <c r="D103" s="2" t="n">
        <v>6</v>
      </c>
      <c r="E103" s="2" t="inlineStr">
        <is>
          <t>Find the absolute minimum of the function \( f(x,y,z) = xy + yz + zx \) subject to the constraint \( x^2 + y^2 + z^2 = 1</t>
        </is>
      </c>
      <c r="F103" s="2" t="inlineStr">
        <is>
          <t>yes</t>
        </is>
      </c>
      <c r="G103" s="2" t="inlineStr">
        <is>
          <t>Lagrange system, sum equations, identity linking sum xy to constraint</t>
        </is>
      </c>
      <c r="H103" s="2" t="inlineStr">
        <is>
          <t>unclear</t>
        </is>
      </c>
      <c r="I103" s="2" t="inlineStr">
        <is>
          <t>Started case testing, abandoned orthogonality case, incoherent conclusion</t>
        </is>
      </c>
      <c r="J103" s="2" t="inlineStr">
        <is>
          <t>yes-&gt;unclear</t>
        </is>
      </c>
    </row>
    <row r="104">
      <c r="A104" s="2" t="n">
        <v>894</v>
      </c>
      <c r="B104" s="2" t="inlineStr">
        <is>
          <t>q_2690</t>
        </is>
      </c>
      <c r="C104" s="2" t="inlineStr">
        <is>
          <t>Mathematics -&gt; Calculus -&gt; Integral Calculus -&gt; Applications of Integrals</t>
        </is>
      </c>
      <c r="D104" s="2" t="n">
        <v>6.5</v>
      </c>
      <c r="E104" s="2" t="inlineStr">
        <is>
          <t>Determine the values of the parameter \( p \) for which the series \( \sum_{n=2}^{\infty}\frac{1}{(\sqrt{n}+\sqrt{n+1})^</t>
        </is>
      </c>
      <c r="F104" s="2" t="inlineStr">
        <is>
          <t>yes</t>
        </is>
      </c>
      <c r="G104" s="2" t="inlineStr">
        <is>
          <t>asymptotic expansion, ln Taylor, limit comparison with p-series</t>
        </is>
      </c>
      <c r="H104" s="2" t="inlineStr">
        <is>
          <t>yes</t>
        </is>
      </c>
      <c r="I104" s="2" t="inlineStr">
        <is>
          <t>asymptotic expansion of factors, limit comparison with p-series</t>
        </is>
      </c>
      <c r="J104" s="2" t="inlineStr">
        <is>
          <t>yes-&gt;yes</t>
        </is>
      </c>
    </row>
    <row r="105">
      <c r="A105" s="2" t="n">
        <v>910</v>
      </c>
      <c r="B105" s="2" t="inlineStr">
        <is>
          <t>q_91247</t>
        </is>
      </c>
      <c r="C105" s="2" t="inlineStr">
        <is>
          <t>Mathematics -&gt; Algebra -&gt; Intermediate Algebra -&gt; Other</t>
        </is>
      </c>
      <c r="D105" s="2" t="n">
        <v>6.5</v>
      </c>
      <c r="E105" s="2" t="inlineStr">
        <is>
          <t>Prove that the expression \( A = \frac{(b-c)^2}{(a-b)(a-c)} + \frac{(c-a)^2}{(b-c)(b-a)} + \frac{(a-b)^2}{(c-a)(c-b)} \)</t>
        </is>
      </c>
      <c r="F105" s="2" t="inlineStr">
        <is>
          <t>yes</t>
        </is>
      </c>
      <c r="G105" s="2" t="inlineStr">
        <is>
          <t>numeric probe with 0,1,2 then difference-substitution decomposition</t>
        </is>
      </c>
      <c r="H105" s="2" t="inlineStr">
        <is>
          <t>yes</t>
        </is>
      </c>
      <c r="I105" s="2" t="inlineStr">
        <is>
          <t>numeric probe then difference-substitution decomposition of numerators</t>
        </is>
      </c>
      <c r="J105" s="2" t="inlineStr">
        <is>
          <t>yes-&gt;yes</t>
        </is>
      </c>
    </row>
    <row r="106">
      <c r="A106" s="2" t="n">
        <v>915</v>
      </c>
      <c r="B106" s="2" t="inlineStr">
        <is>
          <t>q_24663</t>
        </is>
      </c>
      <c r="C106" s="2" t="inlineStr">
        <is>
          <t>Mathematics -&gt; Differential Equations -&gt; Ordinary Differential Equations (ODEs)</t>
        </is>
      </c>
      <c r="D106" s="2" t="n">
        <v>5</v>
      </c>
      <c r="E106" s="2" t="inlineStr">
        <is>
          <t>Given the solution to the differential equation \(x(t) = Ae^{k_1t} + Be^{-k_2t}\), where \(k_1 &gt; 0\) and \(-k_2 &lt; 0\), f</t>
        </is>
      </c>
      <c r="F106" s="2" t="inlineStr">
        <is>
          <t>yes</t>
        </is>
      </c>
      <c r="G106" s="2" t="inlineStr">
        <is>
          <t>set divergent coefficient A=0, solved constants from initial conditions</t>
        </is>
      </c>
      <c r="H106" s="2" t="inlineStr">
        <is>
          <t>yes</t>
        </is>
      </c>
      <c r="I106" s="2" t="inlineStr">
        <is>
          <t>suppresses divergent term A=0, solves initial-condition relation</t>
        </is>
      </c>
      <c r="J106" s="2" t="inlineStr">
        <is>
          <t>yes-&gt;yes</t>
        </is>
      </c>
    </row>
    <row r="107">
      <c r="A107" s="2" t="n">
        <v>919</v>
      </c>
      <c r="B107" s="2" t="inlineStr">
        <is>
          <t>q_95157</t>
        </is>
      </c>
      <c r="C107" s="2" t="inlineStr">
        <is>
          <t>Mathematics -&gt; Algebra -&gt; Linear Algebra -&gt; Vectors</t>
        </is>
      </c>
      <c r="D107" s="2" t="n">
        <v>5</v>
      </c>
      <c r="E107" s="2" t="inlineStr">
        <is>
          <t>Let $O$ be the origin.  There exists a scalar $k$ so that for any points $A,$ $B,$ $C,$ and $D$ such that \[3 \overright</t>
        </is>
      </c>
      <c r="F107" s="2" t="inlineStr">
        <is>
          <t>yes</t>
        </is>
      </c>
      <c r="G107" s="2" t="inlineStr">
        <is>
          <t>applied sum-of-coefficients-equals-zero coplanarity rule</t>
        </is>
      </c>
      <c r="H107" s="2" t="inlineStr">
        <is>
          <t>yes</t>
        </is>
      </c>
      <c r="I107" s="2" t="inlineStr">
        <is>
          <t>Applied sum-of-coefficients-zero rule directly</t>
        </is>
      </c>
      <c r="J107" s="2" t="inlineStr">
        <is>
          <t>yes-&gt;yes</t>
        </is>
      </c>
    </row>
    <row r="108">
      <c r="A108" s="2" t="n">
        <v>940</v>
      </c>
      <c r="B108" s="2" t="inlineStr">
        <is>
          <t>q_91207</t>
        </is>
      </c>
      <c r="C108" s="2" t="inlineStr">
        <is>
          <t>Mathematics -&gt; Discrete Mathematics -&gt; Combinatorics</t>
        </is>
      </c>
      <c r="D108" s="2" t="n">
        <v>5</v>
      </c>
      <c r="E108" s="2" t="inlineStr">
        <is>
          <t>120 schools each send 20 people to form 20 teams, with each team having exactly 1 person from each school. Determine the</t>
        </is>
      </c>
      <c r="F108" s="2" t="inlineStr">
        <is>
          <t>yes</t>
        </is>
      </c>
      <c r="G108" s="2" t="inlineStr">
        <is>
          <t>pigeonhole via maximum selection avoiding threshold, plus one</t>
        </is>
      </c>
      <c r="H108" s="2" t="inlineStr">
        <is>
          <t>yes</t>
        </is>
      </c>
      <c r="I108" s="2" t="inlineStr">
        <is>
          <t>pigeonhole with omission-centric safe-capacity reasoning to force threshold</t>
        </is>
      </c>
      <c r="J108" s="2" t="inlineStr">
        <is>
          <t>yes-&gt;yes</t>
        </is>
      </c>
    </row>
    <row r="109">
      <c r="A109" s="2" t="n">
        <v>942</v>
      </c>
      <c r="B109" s="2" t="inlineStr">
        <is>
          <t>q_93524</t>
        </is>
      </c>
      <c r="C109" s="2" t="inlineStr">
        <is>
          <t>Mathematics -&gt; Calculus -&gt; Integral Calculus -&gt; Techniques of Integration -&gt; Multi-variable</t>
        </is>
      </c>
      <c r="D109" s="2" t="n">
        <v>7.5</v>
      </c>
      <c r="E109" s="2" t="inlineStr">
        <is>
          <t xml:space="preserve">Evaluate the surface integral \( \iint_{\sigma} x \, dy \, dz + y \, dx \, dz + z \, dx \, dy \) over the outer surface </t>
        </is>
      </c>
      <c r="F109" s="2" t="inlineStr">
        <is>
          <t>yes</t>
        </is>
      </c>
      <c r="G109" s="2" t="inlineStr">
        <is>
          <t>mapped 2-form to field, applied Divergence Theorem</t>
        </is>
      </c>
      <c r="H109" s="2" t="inlineStr">
        <is>
          <t>yes</t>
        </is>
      </c>
      <c r="I109" s="2" t="inlineStr">
        <is>
          <t>mapped 2-form with sign handling, Divergence Theorem</t>
        </is>
      </c>
      <c r="J109" s="2" t="inlineStr">
        <is>
          <t>yes-&gt;yes</t>
        </is>
      </c>
    </row>
    <row r="110">
      <c r="A110" s="2" t="n">
        <v>947</v>
      </c>
      <c r="B110" s="2" t="inlineStr">
        <is>
          <t>q_59664</t>
        </is>
      </c>
      <c r="C110" s="2" t="inlineStr">
        <is>
          <t>Mathematics -&gt; Applied Mathematics -&gt; Statistics -&gt; Probability -&gt; Other</t>
        </is>
      </c>
      <c r="D110" s="2" t="n">
        <v>5.5</v>
      </c>
      <c r="E110" s="2" t="inlineStr">
        <is>
          <t>Given the probability density functions:  \[ f_x(x)= \begin{cases} \frac{x^3}8, &amp; 0 &lt; x &lt; 2,\\ 0, &amp; \text{otherwise},\en</t>
        </is>
      </c>
      <c r="F110" s="2" t="inlineStr">
        <is>
          <t>yes</t>
        </is>
      </c>
      <c r="G110" s="2" t="inlineStr">
        <is>
          <t>Joint PDF construction, mapped limits, x-first integration</t>
        </is>
      </c>
      <c r="H110" s="2" t="inlineStr">
        <is>
          <t>yes</t>
        </is>
      </c>
      <c r="I110" s="2" t="inlineStr">
        <is>
          <t>joint PDF construction then double integration, bounds botched</t>
        </is>
      </c>
      <c r="J110" s="2" t="inlineStr">
        <is>
          <t>yes-&gt;yes</t>
        </is>
      </c>
    </row>
    <row r="111">
      <c r="A111" s="2" t="n">
        <v>955</v>
      </c>
      <c r="B111" s="2" t="inlineStr">
        <is>
          <t>q_27304</t>
        </is>
      </c>
      <c r="C111" s="2" t="inlineStr">
        <is>
          <t>Mathematics -&gt; Applied Mathematics -&gt; Statistics -&gt; Probability -&gt; Other</t>
        </is>
      </c>
      <c r="D111" s="2" t="n">
        <v>4.5</v>
      </c>
      <c r="E111" s="2" t="inlineStr">
        <is>
          <t>A small elevator has a maximum capacity $C$, which is normally distributed with a mean of $400$ kg and a standard deviat</t>
        </is>
      </c>
      <c r="F111" s="2" t="inlineStr">
        <is>
          <t>yes</t>
        </is>
      </c>
      <c r="G111" s="2" t="inlineStr">
        <is>
          <t>defined D=X-C, added variances, solved standard-score equation for n</t>
        </is>
      </c>
      <c r="H111" s="2" t="inlineStr">
        <is>
          <t>yes</t>
        </is>
      </c>
      <c r="I111" s="2" t="inlineStr">
        <is>
          <t>defined D=sum-capacity, added variances, solved quadratic, floored</t>
        </is>
      </c>
      <c r="J111" s="2" t="inlineStr">
        <is>
          <t>yes-&gt;yes</t>
        </is>
      </c>
    </row>
    <row r="112">
      <c r="A112" s="2" t="n">
        <v>956</v>
      </c>
      <c r="B112" s="2" t="inlineStr">
        <is>
          <t>q_4328</t>
        </is>
      </c>
      <c r="C112" s="2" t="inlineStr">
        <is>
          <t>Mathematics -&gt; Applied Mathematics -&gt; Statistics -&gt; Probability -&gt; Other</t>
        </is>
      </c>
      <c r="D112" s="2" t="n">
        <v>7</v>
      </c>
      <c r="E112" s="2" t="inlineStr">
        <is>
          <t>Given the joint probability distribution of random variables X and Y as \( f(x,y) = Te^{-x-y} \) for \( 0 &lt; y &lt; x &lt; \inf</t>
        </is>
      </c>
      <c r="F112" s="2" t="inlineStr">
        <is>
          <t>yes</t>
        </is>
      </c>
      <c r="G112" s="2" t="inlineStr">
        <is>
          <t>normalization first, Gamma identities, nested-bound integrals</t>
        </is>
      </c>
      <c r="H112" s="2" t="inlineStr">
        <is>
          <t>yes</t>
        </is>
      </c>
      <c r="I112" s="2" t="inlineStr">
        <is>
          <t>normalizes constant first, Gamma identity, nested-bound E[XY]</t>
        </is>
      </c>
      <c r="J112" s="2" t="inlineStr">
        <is>
          <t>yes-&gt;yes</t>
        </is>
      </c>
    </row>
    <row r="113">
      <c r="A113" s="2" t="n">
        <v>964</v>
      </c>
      <c r="B113" s="2" t="inlineStr">
        <is>
          <t>q_11234</t>
        </is>
      </c>
      <c r="C113" s="2" t="inlineStr">
        <is>
          <t>Mathematics -&gt; Other</t>
        </is>
      </c>
      <c r="D113" s="2" t="n">
        <v>6.5</v>
      </c>
      <c r="E113" s="2" t="inlineStr">
        <is>
          <t>Find the limit of the sequence \(x_n = \dfrac{\lfloor x \rfloor + \lfloor 3^2x \rfloor + \ldots + \lfloor (2n-1)^2x \rfl</t>
        </is>
      </c>
      <c r="F113" s="2" t="inlineStr">
        <is>
          <t>yes</t>
        </is>
      </c>
      <c r="G113" s="2" t="inlineStr">
        <is>
          <t>floor decomposition, bounds fractional sum, leading-order term</t>
        </is>
      </c>
      <c r="H113" s="2" t="inlineStr">
        <is>
          <t>yes</t>
        </is>
      </c>
      <c r="I113" s="2" t="inlineStr">
        <is>
          <t>floor decomposition, bounded fractional sum, leading-order term</t>
        </is>
      </c>
      <c r="J113" s="2" t="inlineStr">
        <is>
          <t>yes-&gt;yes</t>
        </is>
      </c>
    </row>
    <row r="114">
      <c r="A114" s="2" t="n">
        <v>966</v>
      </c>
      <c r="B114" s="2" t="inlineStr">
        <is>
          <t>q_69078</t>
        </is>
      </c>
      <c r="C114" s="2" t="inlineStr">
        <is>
          <t>Mathematics -&gt; Algebra -&gt; Intermediate Algebra -&gt; Complex Numbers</t>
        </is>
      </c>
      <c r="D114" s="2" t="n">
        <v>6</v>
      </c>
      <c r="E114" s="2" t="inlineStr">
        <is>
          <t>Compute the infinite product \( \prod_{n=1}^\infty \mathrm{e}^{\frac{\mathrm{i}\pi}{2^n}} \).</t>
        </is>
      </c>
      <c r="F114" s="2" t="inlineStr">
        <is>
          <t>yes</t>
        </is>
      </c>
      <c r="G114" s="2" t="inlineStr">
        <is>
          <t>converted product to exponential of geometric series sum</t>
        </is>
      </c>
      <c r="H114" s="2" t="inlineStr">
        <is>
          <t>yes</t>
        </is>
      </c>
      <c r="I114" s="2" t="inlineStr">
        <is>
          <t>exponential of geometric series sum of exponents</t>
        </is>
      </c>
      <c r="J114" s="2" t="inlineStr">
        <is>
          <t>yes-&gt;yes</t>
        </is>
      </c>
    </row>
    <row r="115">
      <c r="A115" s="2" t="n">
        <v>972</v>
      </c>
      <c r="B115" s="2" t="inlineStr">
        <is>
          <t>q_23096</t>
        </is>
      </c>
      <c r="C115" s="2" t="inlineStr">
        <is>
          <t>Mathematics -&gt; Applied Mathematics -&gt; Statistics -&gt; Probability -&gt; Other</t>
        </is>
      </c>
      <c r="D115" s="2" t="n">
        <v>3.5</v>
      </c>
      <c r="E115" s="2" t="inlineStr">
        <is>
          <t>In a one-dimensional random walk starting at the origin, the probability of moving right is \( \frac{1}{3} \) and the pr</t>
        </is>
      </c>
      <c r="F115" s="2" t="inlineStr">
        <is>
          <t>yes</t>
        </is>
      </c>
      <c r="G115" s="2" t="inlineStr">
        <is>
          <t>drift rule and 2*min(p,q) shortcut applied</t>
        </is>
      </c>
      <c r="H115" s="2" t="inlineStr">
        <is>
          <t>yes</t>
        </is>
      </c>
      <c r="I115" s="2" t="inlineStr">
        <is>
          <t>drift analysis and 2·min(p,q) shortcut applied</t>
        </is>
      </c>
      <c r="J115" s="2" t="inlineStr">
        <is>
          <t>yes-&gt;yes</t>
        </is>
      </c>
    </row>
    <row r="116">
      <c r="A116" s="2" t="n">
        <v>986</v>
      </c>
      <c r="B116" s="2" t="inlineStr">
        <is>
          <t>q_55742</t>
        </is>
      </c>
      <c r="C116" s="2" t="inlineStr">
        <is>
          <t>Mathematics -&gt; Discrete Mathematics -&gt; Logic</t>
        </is>
      </c>
      <c r="D116" s="2" t="n">
        <v>6.5</v>
      </c>
      <c r="E116" s="2" t="inlineStr">
        <is>
          <t>Derive the statement $P(y)$ using the following axioms and hypotheses:  - $(A1)$: All Tautologies. - $(A2)$: $(\forall x</t>
        </is>
      </c>
      <c r="F116" s="2" t="inlineStr">
        <is>
          <t>yes</t>
        </is>
      </c>
      <c r="G116" s="2" t="inlineStr">
        <is>
          <t>Universal instantiation, Modus Ponens, re-instantiation bridge</t>
        </is>
      </c>
      <c r="H116" s="2" t="inlineStr">
        <is>
          <t>yes</t>
        </is>
      </c>
      <c r="I116" s="2" t="inlineStr">
        <is>
          <t>universal instantiation then modus ponens, layered peeling</t>
        </is>
      </c>
      <c r="J116" s="2" t="inlineStr">
        <is>
          <t>yes-&gt;yes</t>
        </is>
      </c>
    </row>
    <row r="117">
      <c r="A117" s="2" t="n">
        <v>996</v>
      </c>
      <c r="B117" s="2" t="inlineStr">
        <is>
          <t>q_41452</t>
        </is>
      </c>
      <c r="C117" s="2" t="inlineStr">
        <is>
          <t>Mathematics -&gt; Precalculus -&gt; Limits</t>
        </is>
      </c>
      <c r="D117" s="2" t="n">
        <v>6</v>
      </c>
      <c r="E117" s="2" t="inlineStr">
        <is>
          <t>Evaluate the limit \( \lim_{x \to 0^+} x^{x^x} - x^x \). Determine if the textbook's conclusion that the limit is \(-1\)</t>
        </is>
      </c>
      <c r="F117" s="2" t="inlineStr">
        <is>
          <t>yes</t>
        </is>
      </c>
      <c r="G117" s="2" t="inlineStr">
        <is>
          <t>base-e transform, exponent limit to -infinity, resolved 0-1</t>
        </is>
      </c>
      <c r="H117" s="2" t="inlineStr">
        <is>
          <t>yes</t>
        </is>
      </c>
      <c r="I117" s="2" t="inlineStr">
        <is>
          <t>base-e transformation and exponent limit analysis</t>
        </is>
      </c>
      <c r="J117" s="2" t="inlineStr">
        <is>
          <t>yes-&gt;yes</t>
        </is>
      </c>
    </row>
    <row r="118">
      <c r="A118" s="2" t="n">
        <v>998</v>
      </c>
      <c r="B118" s="2" t="inlineStr">
        <is>
          <t>q_73165</t>
        </is>
      </c>
      <c r="C118" s="2" t="inlineStr">
        <is>
          <t>Mathematics -&gt; Other</t>
        </is>
      </c>
      <c r="D118" s="2" t="n">
        <v>7.5</v>
      </c>
      <c r="E118" s="2" t="inlineStr">
        <is>
          <t>Find the values of $a$ and $b$ such that the series \( \sum_{n=1}^{\infty}(-1)^{n-1}\left(a-\frac{(n-b)^n}{n^n}\right) \</t>
        </is>
      </c>
      <c r="F118" s="2" t="inlineStr">
        <is>
          <t>yes</t>
        </is>
      </c>
      <c r="G118" s="2" t="inlineStr">
        <is>
          <t>zeroes limit for a, Taylor expands, applies Leibniz test</t>
        </is>
      </c>
      <c r="H118" s="2" t="inlineStr">
        <is>
          <t>yes</t>
        </is>
      </c>
      <c r="I118" s="2" t="inlineStr">
        <is>
          <t>term limit zero condition, exponential expansion of remainder</t>
        </is>
      </c>
      <c r="J118" s="2" t="inlineStr">
        <is>
          <t>yes-&gt;yes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Blinded LLM-judge uptake study - Mistral Small 24B, {q,i} vs {q,i|q,i}</t>
        </is>
      </c>
    </row>
    <row r="2" ht="44" customHeight="1">
      <c r="A2" s="4" t="inlineStr">
        <is>
          <t>All 514 (card, response) pairs judged independently, shuffled, condition and correctness hidden; one fixed rubric identical to the Qwen 7B study (judge: Claude, 2026-07-17). Verdict = does the response APPLY the card's core strategy (solution path, not wording). Improved group: wrong at x1, right at x2. Hurt control: right at x1, wrong at x2.</t>
        </is>
      </c>
    </row>
    <row r="4">
      <c r="A4" s="5" t="inlineStr">
        <is>
          <t>IMPROVED (wrong -&gt; right): verdict counts</t>
        </is>
      </c>
    </row>
    <row r="5">
      <c r="A5" s="6" t="inlineStr">
        <is>
          <t>verdict</t>
        </is>
      </c>
      <c r="B5" s="6" t="inlineStr">
        <is>
          <t>x1 {q,i}</t>
        </is>
      </c>
      <c r="C5" s="6" t="inlineStr">
        <is>
          <t>x2 {q,i|q,i}</t>
        </is>
      </c>
    </row>
    <row r="6">
      <c r="A6" s="2" t="inlineStr">
        <is>
          <t>yes</t>
        </is>
      </c>
      <c r="B6" s="2">
        <f>COUNTIF('Improved (140)'!F$2:F$141,$A6)</f>
        <v/>
      </c>
      <c r="C6" s="2">
        <f>COUNTIF('Improved (140)'!H$2:H$141,$A6)</f>
        <v/>
      </c>
    </row>
    <row r="7">
      <c r="A7" s="2" t="inlineStr">
        <is>
          <t>unclear</t>
        </is>
      </c>
      <c r="B7" s="2">
        <f>COUNTIF('Improved (140)'!F$2:F$141,$A7)</f>
        <v/>
      </c>
      <c r="C7" s="2">
        <f>COUNTIF('Improved (140)'!H$2:H$141,$A7)</f>
        <v/>
      </c>
    </row>
    <row r="8">
      <c r="A8" s="2" t="inlineStr">
        <is>
          <t>no</t>
        </is>
      </c>
      <c r="B8" s="2">
        <f>COUNTIF('Improved (140)'!F$2:F$141,$A8)</f>
        <v/>
      </c>
      <c r="C8" s="2">
        <f>COUNTIF('Improved (140)'!H$2:H$141,$A8)</f>
        <v/>
      </c>
    </row>
    <row r="9">
      <c r="A9" s="2" t="inlineStr">
        <is>
          <t>yes-rate</t>
        </is>
      </c>
      <c r="B9" s="7">
        <f>B6/SUM(B6:B8)</f>
        <v/>
      </c>
      <c r="C9" s="7">
        <f>C6/SUM(C6:C8)</f>
        <v/>
      </c>
    </row>
    <row r="10">
      <c r="A10" s="2" t="inlineStr">
        <is>
          <t>uptake gained (non-yes-&gt;yes)</t>
        </is>
      </c>
      <c r="B10" s="2">
        <f>SUMPRODUCT(('Improved (140)'!F$2:F$141&lt;&gt;"yes")*('Improved (140)'!H$2:H$141="yes"))</f>
        <v/>
      </c>
    </row>
    <row r="11">
      <c r="A11" s="2" t="inlineStr">
        <is>
          <t>uptake lost (yes-&gt;non-yes)</t>
        </is>
      </c>
      <c r="B11" s="2">
        <f>SUMPRODUCT(('Improved (140)'!F$2:F$141="yes")*('Improved (140)'!H$2:H$141&lt;&gt;"yes"))</f>
        <v/>
      </c>
    </row>
    <row r="12">
      <c r="A12" s="2" t="inlineStr">
        <is>
          <t>two-sided sign test p</t>
        </is>
      </c>
      <c r="B12" s="8">
        <f>MIN(1,2*BINOMDIST(MIN(B10,B11),B10+B11,0.5,TRUE))</f>
        <v/>
      </c>
    </row>
    <row r="14">
      <c r="A14" s="5" t="inlineStr">
        <is>
          <t>HURT CONTROL (right -&gt; wrong): verdict counts</t>
        </is>
      </c>
    </row>
    <row r="15">
      <c r="A15" s="6" t="inlineStr">
        <is>
          <t>verdict</t>
        </is>
      </c>
      <c r="B15" s="6" t="inlineStr">
        <is>
          <t>x1 {q,i}</t>
        </is>
      </c>
      <c r="C15" s="6" t="inlineStr">
        <is>
          <t>x2 {q,i|q,i}</t>
        </is>
      </c>
    </row>
    <row r="16">
      <c r="A16" s="2" t="inlineStr">
        <is>
          <t>yes</t>
        </is>
      </c>
      <c r="B16" s="2">
        <f>COUNTIF('Hurt control (117)'!F$2:F$118,$A16)</f>
        <v/>
      </c>
      <c r="C16" s="2">
        <f>COUNTIF('Hurt control (117)'!H$2:H$118,$A16)</f>
        <v/>
      </c>
    </row>
    <row r="17">
      <c r="A17" s="2" t="inlineStr">
        <is>
          <t>unclear</t>
        </is>
      </c>
      <c r="B17" s="2">
        <f>COUNTIF('Hurt control (117)'!F$2:F$118,$A17)</f>
        <v/>
      </c>
      <c r="C17" s="2">
        <f>COUNTIF('Hurt control (117)'!H$2:H$118,$A17)</f>
        <v/>
      </c>
    </row>
    <row r="18">
      <c r="A18" s="2" t="inlineStr">
        <is>
          <t>no</t>
        </is>
      </c>
      <c r="B18" s="2">
        <f>COUNTIF('Hurt control (117)'!F$2:F$118,$A18)</f>
        <v/>
      </c>
      <c r="C18" s="2">
        <f>COUNTIF('Hurt control (117)'!H$2:H$118,$A18)</f>
        <v/>
      </c>
    </row>
    <row r="19">
      <c r="A19" s="2" t="inlineStr">
        <is>
          <t>yes-rate</t>
        </is>
      </c>
      <c r="B19" s="7">
        <f>B16/SUM(B16:B18)</f>
        <v/>
      </c>
      <c r="C19" s="7">
        <f>C16/SUM(C16:C18)</f>
        <v/>
      </c>
    </row>
    <row r="20">
      <c r="A20" s="2" t="inlineStr">
        <is>
          <t>uptake gained (non-yes-&gt;yes)</t>
        </is>
      </c>
      <c r="B20" s="2">
        <f>SUMPRODUCT(('Hurt control (117)'!F$2:F$118&lt;&gt;"yes")*('Hurt control (117)'!H$2:H$118="yes"))</f>
        <v/>
      </c>
    </row>
    <row r="21">
      <c r="A21" s="2" t="inlineStr">
        <is>
          <t>uptake lost (yes-&gt;non-yes)</t>
        </is>
      </c>
      <c r="B21" s="2">
        <f>SUMPRODUCT(('Hurt control (117)'!F$2:F$118="yes")*('Hurt control (117)'!H$2:H$118&lt;&gt;"yes"))</f>
        <v/>
      </c>
    </row>
    <row r="22">
      <c r="A22" s="2" t="inlineStr">
        <is>
          <t>two-sided sign test p</t>
        </is>
      </c>
      <c r="B22" s="8">
        <f>MIN(1,2*BINOMDIST(MIN(B20,B21),B20+B21,0.5,TRUE))</f>
        <v/>
      </c>
    </row>
    <row r="24">
      <c r="A24" s="5" t="inlineStr">
        <is>
          <t>Pooled (both groups, 257 items)</t>
        </is>
      </c>
    </row>
    <row r="25">
      <c r="A25" s="2" t="inlineStr">
        <is>
          <t>yes-rate x1</t>
        </is>
      </c>
      <c r="B25" s="7">
        <f>(COUNTIF('Improved (140)'!F2:F141,"yes")+COUNTIF('Hurt control (117)'!F2:F118,"yes"))/257</f>
        <v/>
      </c>
    </row>
    <row r="26">
      <c r="A26" s="2" t="inlineStr">
        <is>
          <t>yes-rate x2</t>
        </is>
      </c>
      <c r="B26" s="7">
        <f>(COUNTIF('Improved (140)'!H2:H141,"yes")+COUNTIF('Hurt control (117)'!H2:H118,"yes"))/257</f>
        <v/>
      </c>
    </row>
    <row r="28">
      <c r="A28" s="5" t="inlineStr">
        <is>
          <t>Reading</t>
        </is>
      </c>
    </row>
    <row r="29" ht="110" customHeight="1">
      <c r="A29" s="4" t="inlineStr">
        <is>
          <t>Replicates the Qwen 7B pattern exactly. Uptake tracks the answer flip in BOTH directions (improved: +10/-0, p=.002; hurt: +0/-8, p=.008) and pooled x1 vs x2 yes-rates are flat (94.9% vs 95.7%). No condition-driven adoption increase is detectable. Mistral applies the card even more consistently than Qwen: 95% of x1 responses in the flip groups already apply it (100% in the hurt group), and not a single yes-&gt;non-yes or non-yes-&gt;yes transition runs against the correctness coupling. Failures under a single presentation are execution failures, not attention failures; the attention-rescue channel is bounded to &lt;=9% of items for this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2026-07-18T10:00:21Z</dcterms:created>
  <dcterms:modified xsi:type="dcterms:W3CDTF">2026-07-18T10:00:21Z</dcterms:modified>
</cp:coreProperties>
</file>